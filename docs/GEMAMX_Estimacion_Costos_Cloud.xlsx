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yectosIA\GEMAMX\docs\"/>
    </mc:Choice>
  </mc:AlternateContent>
  <xr:revisionPtr revIDLastSave="0" documentId="8_{7F07D219-E43E-4B11-8EEB-B138141E828D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Resumen Ejecutivo" sheetId="1" r:id="rId1"/>
    <sheet name="Año1" sheetId="2" r:id="rId2"/>
    <sheet name="Año2" sheetId="3" r:id="rId3"/>
    <sheet name="Año3" sheetId="4" r:id="rId4"/>
    <sheet name="AlphaFold3 DeepMind" sheetId="5" r:id="rId5"/>
    <sheet name="Supuestos y Benchmarks" sheetId="6" r:id="rId6"/>
    <sheet name="Pipelines Bioinformátic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4" l="1"/>
  <c r="E84" i="4"/>
  <c r="E83" i="4"/>
  <c r="E82" i="4"/>
  <c r="E81" i="4"/>
  <c r="E80" i="4"/>
  <c r="E85" i="4" s="1"/>
  <c r="E78" i="4"/>
  <c r="C78" i="4"/>
  <c r="E77" i="4"/>
  <c r="E76" i="4"/>
  <c r="E75" i="4"/>
  <c r="E74" i="4"/>
  <c r="C72" i="4"/>
  <c r="E71" i="4"/>
  <c r="E70" i="4"/>
  <c r="E69" i="4"/>
  <c r="E68" i="4"/>
  <c r="E72" i="4" s="1"/>
  <c r="E66" i="4"/>
  <c r="C66" i="4"/>
  <c r="E65" i="4"/>
  <c r="E64" i="4"/>
  <c r="E63" i="4"/>
  <c r="E61" i="4"/>
  <c r="C61" i="4"/>
  <c r="E60" i="4"/>
  <c r="E59" i="4"/>
  <c r="C57" i="4"/>
  <c r="E56" i="4"/>
  <c r="E55" i="4"/>
  <c r="E54" i="4"/>
  <c r="E57" i="4" s="1"/>
  <c r="E52" i="4"/>
  <c r="C52" i="4"/>
  <c r="E51" i="4"/>
  <c r="E50" i="4"/>
  <c r="E49" i="4"/>
  <c r="E48" i="4"/>
  <c r="E47" i="4"/>
  <c r="E46" i="4"/>
  <c r="C44" i="4"/>
  <c r="E43" i="4"/>
  <c r="E42" i="4"/>
  <c r="E41" i="4"/>
  <c r="E44" i="4" s="1"/>
  <c r="E40" i="4"/>
  <c r="E38" i="4"/>
  <c r="C38" i="4"/>
  <c r="E37" i="4"/>
  <c r="E36" i="4"/>
  <c r="E35" i="4"/>
  <c r="C33" i="4"/>
  <c r="E32" i="4"/>
  <c r="E31" i="4"/>
  <c r="E30" i="4"/>
  <c r="E29" i="4"/>
  <c r="E28" i="4"/>
  <c r="E27" i="4"/>
  <c r="E26" i="4"/>
  <c r="E33" i="4" s="1"/>
  <c r="C24" i="4"/>
  <c r="E23" i="4"/>
  <c r="E22" i="4"/>
  <c r="E21" i="4"/>
  <c r="E20" i="4"/>
  <c r="E24" i="4" s="1"/>
  <c r="E18" i="4"/>
  <c r="C18" i="4"/>
  <c r="E17" i="4"/>
  <c r="E16" i="4"/>
  <c r="E15" i="4"/>
  <c r="E14" i="4"/>
  <c r="E13" i="4"/>
  <c r="C11" i="4"/>
  <c r="E10" i="4"/>
  <c r="E9" i="4"/>
  <c r="E8" i="4"/>
  <c r="E7" i="4"/>
  <c r="E6" i="4"/>
  <c r="E11" i="4" s="1"/>
  <c r="C85" i="3"/>
  <c r="E84" i="3"/>
  <c r="E83" i="3"/>
  <c r="E82" i="3"/>
  <c r="E81" i="3"/>
  <c r="E80" i="3"/>
  <c r="E85" i="3" s="1"/>
  <c r="E78" i="3"/>
  <c r="C78" i="3"/>
  <c r="E77" i="3"/>
  <c r="E76" i="3"/>
  <c r="E75" i="3"/>
  <c r="E74" i="3"/>
  <c r="C72" i="3"/>
  <c r="E71" i="3"/>
  <c r="E70" i="3"/>
  <c r="E69" i="3"/>
  <c r="E68" i="3"/>
  <c r="E72" i="3" s="1"/>
  <c r="E66" i="3"/>
  <c r="C66" i="3"/>
  <c r="E65" i="3"/>
  <c r="E64" i="3"/>
  <c r="E63" i="3"/>
  <c r="E61" i="3"/>
  <c r="C61" i="3"/>
  <c r="E60" i="3"/>
  <c r="E59" i="3"/>
  <c r="C57" i="3"/>
  <c r="E56" i="3"/>
  <c r="E55" i="3"/>
  <c r="E54" i="3"/>
  <c r="E57" i="3" s="1"/>
  <c r="E52" i="3"/>
  <c r="C52" i="3"/>
  <c r="E51" i="3"/>
  <c r="E50" i="3"/>
  <c r="E49" i="3"/>
  <c r="E48" i="3"/>
  <c r="E47" i="3"/>
  <c r="E46" i="3"/>
  <c r="C44" i="3"/>
  <c r="E43" i="3"/>
  <c r="E42" i="3"/>
  <c r="E41" i="3"/>
  <c r="E44" i="3" s="1"/>
  <c r="E40" i="3"/>
  <c r="E38" i="3"/>
  <c r="C38" i="3"/>
  <c r="E37" i="3"/>
  <c r="E36" i="3"/>
  <c r="E35" i="3"/>
  <c r="C33" i="3"/>
  <c r="E32" i="3"/>
  <c r="E31" i="3"/>
  <c r="E30" i="3"/>
  <c r="E29" i="3"/>
  <c r="E28" i="3"/>
  <c r="E27" i="3"/>
  <c r="E26" i="3"/>
  <c r="E33" i="3" s="1"/>
  <c r="C24" i="3"/>
  <c r="E23" i="3"/>
  <c r="E22" i="3"/>
  <c r="E21" i="3"/>
  <c r="E20" i="3"/>
  <c r="E24" i="3" s="1"/>
  <c r="E18" i="3"/>
  <c r="C18" i="3"/>
  <c r="E17" i="3"/>
  <c r="E16" i="3"/>
  <c r="E15" i="3"/>
  <c r="E14" i="3"/>
  <c r="E13" i="3"/>
  <c r="C11" i="3"/>
  <c r="E10" i="3"/>
  <c r="E9" i="3"/>
  <c r="E8" i="3"/>
  <c r="E7" i="3"/>
  <c r="E6" i="3"/>
  <c r="E11" i="3" s="1"/>
  <c r="C85" i="2"/>
  <c r="E84" i="2"/>
  <c r="E83" i="2"/>
  <c r="E82" i="2"/>
  <c r="E81" i="2"/>
  <c r="E80" i="2"/>
  <c r="E85" i="2" s="1"/>
  <c r="C78" i="2"/>
  <c r="E77" i="2"/>
  <c r="E78" i="2" s="1"/>
  <c r="E76" i="2"/>
  <c r="E75" i="2"/>
  <c r="E74" i="2"/>
  <c r="C72" i="2"/>
  <c r="E71" i="2"/>
  <c r="E70" i="2"/>
  <c r="E69" i="2"/>
  <c r="E68" i="2"/>
  <c r="E72" i="2" s="1"/>
  <c r="E66" i="2"/>
  <c r="C66" i="2"/>
  <c r="E65" i="2"/>
  <c r="E64" i="2"/>
  <c r="E63" i="2"/>
  <c r="E61" i="2"/>
  <c r="C61" i="2"/>
  <c r="E60" i="2"/>
  <c r="E59" i="2"/>
  <c r="C57" i="2"/>
  <c r="E56" i="2"/>
  <c r="E55" i="2"/>
  <c r="E54" i="2"/>
  <c r="E57" i="2" s="1"/>
  <c r="E52" i="2"/>
  <c r="C52" i="2"/>
  <c r="E51" i="2"/>
  <c r="E50" i="2"/>
  <c r="E49" i="2"/>
  <c r="E48" i="2"/>
  <c r="E47" i="2"/>
  <c r="E46" i="2"/>
  <c r="C44" i="2"/>
  <c r="E43" i="2"/>
  <c r="E42" i="2"/>
  <c r="E41" i="2"/>
  <c r="E44" i="2" s="1"/>
  <c r="E40" i="2"/>
  <c r="E38" i="2"/>
  <c r="C38" i="2"/>
  <c r="E37" i="2"/>
  <c r="E36" i="2"/>
  <c r="E35" i="2"/>
  <c r="C33" i="2"/>
  <c r="E32" i="2"/>
  <c r="E31" i="2"/>
  <c r="E30" i="2"/>
  <c r="E29" i="2"/>
  <c r="E28" i="2"/>
  <c r="E27" i="2"/>
  <c r="E26" i="2"/>
  <c r="E33" i="2" s="1"/>
  <c r="C24" i="2"/>
  <c r="E23" i="2"/>
  <c r="E22" i="2"/>
  <c r="E21" i="2"/>
  <c r="E20" i="2"/>
  <c r="E24" i="2" s="1"/>
  <c r="C18" i="2"/>
  <c r="E17" i="2"/>
  <c r="E18" i="2" s="1"/>
  <c r="E16" i="2"/>
  <c r="E15" i="2"/>
  <c r="E14" i="2"/>
  <c r="E13" i="2"/>
  <c r="C11" i="2"/>
  <c r="E10" i="2"/>
  <c r="E9" i="2"/>
  <c r="E8" i="2"/>
  <c r="E7" i="2"/>
  <c r="E6" i="2"/>
  <c r="E11" i="2" s="1"/>
  <c r="E24" i="1"/>
  <c r="D24" i="1"/>
  <c r="C24" i="1"/>
  <c r="F24" i="1" s="1"/>
  <c r="E23" i="1"/>
  <c r="D23" i="1"/>
  <c r="F23" i="1" s="1"/>
  <c r="C23" i="1"/>
  <c r="E22" i="1"/>
  <c r="F22" i="1" s="1"/>
  <c r="D22" i="1"/>
  <c r="C22" i="1"/>
  <c r="E21" i="1"/>
  <c r="D21" i="1"/>
  <c r="C21" i="1"/>
  <c r="F21" i="1" s="1"/>
  <c r="E20" i="1"/>
  <c r="D20" i="1"/>
  <c r="C20" i="1"/>
  <c r="F20" i="1" s="1"/>
  <c r="E19" i="1"/>
  <c r="D19" i="1"/>
  <c r="C19" i="1"/>
  <c r="F19" i="1" s="1"/>
  <c r="F18" i="1"/>
  <c r="E18" i="1"/>
  <c r="D18" i="1"/>
  <c r="C18" i="1"/>
  <c r="F17" i="1"/>
  <c r="E17" i="1"/>
  <c r="D17" i="1"/>
  <c r="C17" i="1"/>
  <c r="E16" i="1"/>
  <c r="D16" i="1"/>
  <c r="C16" i="1"/>
  <c r="F16" i="1" s="1"/>
  <c r="F15" i="1"/>
  <c r="E15" i="1"/>
  <c r="D15" i="1"/>
  <c r="C15" i="1"/>
  <c r="E14" i="1"/>
  <c r="D14" i="1"/>
  <c r="C14" i="1"/>
  <c r="F14" i="1" s="1"/>
  <c r="F13" i="1"/>
  <c r="E13" i="1"/>
  <c r="E25" i="1" s="1"/>
  <c r="D13" i="1"/>
  <c r="D25" i="1" s="1"/>
  <c r="C13" i="1"/>
  <c r="E12" i="1"/>
  <c r="D12" i="1"/>
  <c r="C12" i="1"/>
  <c r="C25" i="1" s="1"/>
  <c r="F25" i="1" s="1"/>
  <c r="E87" i="2" l="1"/>
  <c r="C200" i="2" s="1"/>
  <c r="B7" i="1" s="1"/>
  <c r="C87" i="2"/>
  <c r="G22" i="1"/>
  <c r="G18" i="1"/>
  <c r="G13" i="1"/>
  <c r="G15" i="1"/>
  <c r="G19" i="1"/>
  <c r="G23" i="1"/>
  <c r="G16" i="1"/>
  <c r="G24" i="1"/>
  <c r="G20" i="1"/>
  <c r="G14" i="1"/>
  <c r="G17" i="1"/>
  <c r="E87" i="4"/>
  <c r="C200" i="4" s="1"/>
  <c r="D7" i="1" s="1"/>
  <c r="C87" i="4"/>
  <c r="G21" i="1"/>
  <c r="E87" i="3"/>
  <c r="C200" i="3" s="1"/>
  <c r="C7" i="1" s="1"/>
  <c r="C87" i="3"/>
  <c r="F12" i="1"/>
  <c r="G12" i="1" s="1"/>
  <c r="E7" i="1" l="1"/>
</calcChain>
</file>

<file path=xl/sharedStrings.xml><?xml version="1.0" encoding="utf-8"?>
<sst xmlns="http://schemas.openxmlformats.org/spreadsheetml/2006/main" count="1124" uniqueCount="689">
  <si>
    <t>GEN-MAMA-MX | Estimación de Costos — Plataforma Cloud GCP + Databricks</t>
  </si>
  <si>
    <t>Pipeline Bioinformático de Oncología de Precisión para Cáncer de Mama · Universidad de Sonora · 3 Años</t>
  </si>
  <si>
    <t>Fuentes: Investigación de mercado GCP/Databricks 2025 · Benchmarks NGS cloud (Franzoso 2025) · Fovus Boltz-1 $0.10/simulación · Vina GPU $0.95/10K dockings · Escala incremental 3 años</t>
  </si>
  <si>
    <t>INVERSIÓN TOTAL
POR AÑO (USD)</t>
  </si>
  <si>
    <t>Año 1
(Fase Piloto)</t>
  </si>
  <si>
    <t>Año 2
(Expansión)</t>
  </si>
  <si>
    <t>Año 3
(Escala Plena)</t>
  </si>
  <si>
    <t>TOTAL 3 AÑOS</t>
  </si>
  <si>
    <t>ℹ️  Modelo incremental:
Año 1 = 30% capacidad (~prototipo + 5 estados)
Año 2 = 65% capacidad (~12 estados)
Año 3 = 100% capacidad (~30K casos/año NGS)</t>
  </si>
  <si>
    <t>📊  DESGLOSE POR CATEGORÍA — RESUMEN 3 AÑOS</t>
  </si>
  <si>
    <t>Categoría</t>
  </si>
  <si>
    <t>Descripción</t>
  </si>
  <si>
    <t>Año 1 USD</t>
  </si>
  <si>
    <t>Año 2 USD</t>
  </si>
  <si>
    <t>Año 3 USD</t>
  </si>
  <si>
    <t>Total 3 Años</t>
  </si>
  <si>
    <t>% del Total</t>
  </si>
  <si>
    <t>GCP — Cómputo GPU/CPU</t>
  </si>
  <si>
    <t>VMs GPU T4/A100 para Boltz-2, AlphaFold3, pipelines NGS</t>
  </si>
  <si>
    <t>GCP — Cloud Storage</t>
  </si>
  <si>
    <t>GCS buckets Bronze/Silver/Gold · datos NGS, estructuras 3D</t>
  </si>
  <si>
    <t>GCP — Networking &amp; API</t>
  </si>
  <si>
    <t>Egress, Load Balancing, API Gateway, IAP</t>
  </si>
  <si>
    <t>GCP — OpenShift/GKE</t>
  </si>
  <si>
    <t>Microservicios, DevOps, CI/CD, Grafana monitoring</t>
  </si>
  <si>
    <t>GCP — BigQuery &amp; BI</t>
  </si>
  <si>
    <t>SQL warehouse genómico, dashboards Looker Studio</t>
  </si>
  <si>
    <t>GCP — Seguridad &amp; IAM</t>
  </si>
  <si>
    <t>MFA, Cloud Armor, Secret Manager, HIPAA compliance</t>
  </si>
  <si>
    <t>Databricks</t>
  </si>
  <si>
    <t>Medallion Delta (Bronze/Silver/Gold), MLOps, SQL Warehouse</t>
  </si>
  <si>
    <t>Gemini LLM / RAG</t>
  </si>
  <si>
    <t>Gemini 1.5 Pro API, Vector Search, RAG científico</t>
  </si>
  <si>
    <t>Antigravity IDE</t>
  </si>
  <si>
    <t>Licencias equipo desarrollo — 10 devs</t>
  </si>
  <si>
    <t>Capacitación</t>
  </si>
  <si>
    <t>GCP, Databricks, IA Agéntica, RAG — 50 usuarios</t>
  </si>
  <si>
    <t>Soporte Técnico</t>
  </si>
  <si>
    <t>Soporte L1/L2/L3 plataformas cloud y bioinformática</t>
  </si>
  <si>
    <t>Servicios Profesionales</t>
  </si>
  <si>
    <t>Desarrollo, MLOps, DevOps, integración IMSS/ISSSTE</t>
  </si>
  <si>
    <t>Licencias Software</t>
  </si>
  <si>
    <t>MongoDB Atlas, Nextflow Tower, GitHub Enterprise, otros</t>
  </si>
  <si>
    <t>TOTAL PROYECTO GEN-MAMA-MX</t>
  </si>
  <si>
    <t>100.0%</t>
  </si>
  <si>
    <t>🌎  PROYECTOS SIMILARES EN EL MUNDO — BENCHMARKS DE REFERENCIA</t>
  </si>
  <si>
    <t>• Genomics Core — Hospital Albert Einstein (Brasil, 2024)</t>
  </si>
  <si>
    <t>Pipeline NGS cloud AWS (Fargate+Batch). Procesamiento variantes oncológicas. SPOT instances para reducir costos. Presentado AWS Public Sector Symposium Brasília 2024.</t>
  </si>
  <si>
    <t>• Cancer Genomics Cloud (CGC) — Seven Bridges / NCI</t>
  </si>
  <si>
    <t>Plataforma multicloud (GCP/AWS/Azure) para pipelines TCGA. Costo promedio $50/tarea NGS. Recomiendan +30% buffer. Hosts TCGA-BRCA acceso abierto.</t>
  </si>
  <si>
    <t>• Sentieon/Parabricks NGS en GCP — Franzoso et al. 2025</t>
  </si>
  <si>
    <t>Benchmark WES/WGS en GCP: VM 64-96 CPUs para Sentieon; GPU+48-64GB RAM para Parabricks. Referencia costo/muestra para análisis NGS clínico. Clinical &amp; Translational Science 2025.</t>
  </si>
  <si>
    <t>• Boltz-1/2 en Fovus HPC Cloud (2025)</t>
  </si>
  <si>
    <t>$0.10/simulación Boltz-1 en GPU cloud. Vina GPU: $0.95/10,000 dockings. 30K casos/año × 15 genes × 11 fármacos = escala manejable con presupuesto proyectado.</t>
  </si>
  <si>
    <t>• INMEGEN / INCAn — México</t>
  </si>
  <si>
    <t>Secuenciador Illumina NovaSeq X. WES ~$300 USD/exoma. 26 proyectos activos en cáncer. Único posgrado de Alta Especialidad en Medicina de Precisión en Cáncer en México.</t>
  </si>
  <si>
    <t>• UK Biobank — Hail/Spark en GCP (PMC 2020)</t>
  </si>
  <si>
    <t>GWAS a escala de 500K genomas usando Hail sobre GCP. Demostró viabilidad de análisis distribuido genómico en cloud a costo-efectividad superior a HPC on-premise.</t>
  </si>
  <si>
    <t>GEN-MAMA-MX — Estimación de Costos Año1  | Factor de rampa: 30% | Casos NGS: 9,000 | Centros activos: 5</t>
  </si>
  <si>
    <t>USD por mes × 12 meses  ·  Todos los costos en dólares americanos  ·  Precios GCP us-central1 (Iowa) / Databricks on GCP 2025</t>
  </si>
  <si>
    <t>Componente / Recurso</t>
  </si>
  <si>
    <t>Especificación Técnica</t>
  </si>
  <si>
    <t>Costo/Mes USD</t>
  </si>
  <si>
    <t>Meses</t>
  </si>
  <si>
    <t>Total Anual USD</t>
  </si>
  <si>
    <t>Notas / Justificación</t>
  </si>
  <si>
    <t>▌  1.  GCP — CÓMPUTO GPU / CPU (Boltz-2, AlphaFold3, NGS Pipelines)</t>
  </si>
  <si>
    <t>GPU Cluster — Boltz-2 / AlphaFold3</t>
  </si>
  <si>
    <t>n1-standard-8 + NVIDIA T4 GPU · 66 GPU-hrs/mes · $1.40/hr · Predicción estructural 3D para 750 casos/mes × 15 genes objetivo</t>
  </si>
  <si>
    <t>Ref: Fovus $0.10/sim; en GCP T4 ~20min/sim = $0.47/sim. Escala con casos NGS.</t>
  </si>
  <si>
    <t>GPU Premium — Lotes grandes (spot/preemptible)</t>
  </si>
  <si>
    <t>Preemptible T4: $0.35/hr · Ahorro 75% en lotes no urgentes · Docking masivo (Vina GPU): 8,250 pares receptor-ligando/mes</t>
  </si>
  <si>
    <t>Ref: Vina GPU $0.95/10K dockings. Mix preemptible/on-demand.</t>
  </si>
  <si>
    <t>CPU — Pipelines NGS (WES alignment + variant calling)</t>
  </si>
  <si>
    <t>n2-highcpu-32 · $0.94/hr · GATK/BWA/DeepVariant · 1,875 CPU-hrs/mes para 750 exomas/mes</t>
  </si>
  <si>
    <t>Ref: Franzoso 2025 — 64-96 CPUs por muestra WES en GCP. $300 WES cost incluye seq+análisis.</t>
  </si>
  <si>
    <t>CPU — Bioinformática General (MongoDB, ingesta, FASTA, QC)</t>
  </si>
  <si>
    <t>e2-standard-8 · $0.27/hr · Always-on para APIs, ingesta automatizada, QC pipelines</t>
  </si>
  <si>
    <t>2 instancias always-on: servidor APIs cBioPortal/UniProt, servidor MongoDB intermediario.</t>
  </si>
  <si>
    <t>Cloud Run — Microservicios (consulta resultados)</t>
  </si>
  <si>
    <t>Cloud Run autoscale · 2M requests/mes · 512MB RAM · API de resultados genomicos para investigadores LATAM</t>
  </si>
  <si>
    <t>Cloud Run: $0.40/M requests. Factor ramp aplicado.</t>
  </si>
  <si>
    <t>Subtotal — GCP Cómputo GPU/CPU</t>
  </si>
  <si>
    <t>12</t>
  </si>
  <si>
    <t>▌  2.  GCP — CLOUD STORAGE (Bronze/Silver/Gold + estructuras 3D)</t>
  </si>
  <si>
    <t>GCS Bronze — Datos RAW NGS (FASTQ, BAM, VCF)</t>
  </si>
  <si>
    <t>Standard Storage · 13.2 TB acumulado · $0.020/GB/mes · FASTQ 2×150bp WES (~5GB/muestra) + BAM + VCF raw</t>
  </si>
  <si>
    <t>WES FASTQ ~5GB/muestra. Ciclo vida: 90 días standard → Nearline ($0.010). Retención 3 años.</t>
  </si>
  <si>
    <t>GCS Silver — Datos Procesados (mutaciones filtradas, FASTA)</t>
  </si>
  <si>
    <t>Nearline Storage · 1.98 TB · $0.010/GB/mes · JSON anotados, FASTA WT/mutados por variante, métricas pLDDT</t>
  </si>
  <si>
    <t>~15% del volumen Bronze. Incluye top_variants.json, structural_metrics.json por cohorte.</t>
  </si>
  <si>
    <t>GCS Gold — Resultados Finales + Estructuras 3D</t>
  </si>
  <si>
    <t>Standard Storage · 0.20 TB estructuras CIF/PDB + 0.20 TB · $0.020/GB/mes · mmCIF Boltz-2, poses docking PDBQT, reportes HTML/PDF</t>
  </si>
  <si>
    <t>Estructuras 3D: ~5MB/variante CIF + poses docking. Acceso frecuente por investigadores.</t>
  </si>
  <si>
    <t>GCS Archival — Backup largo plazo</t>
  </si>
  <si>
    <t>Archive Storage · $0.0012/GB/mes · Snapshots mensuales completos</t>
  </si>
  <si>
    <t>50% del Bronze archivado. Recuperación $0.05/GB. Para auditoría y reproducibilidad científica.</t>
  </si>
  <si>
    <t>Egress / Transfer</t>
  </si>
  <si>
    <t>Egress internet: $0.08/GB · Investigadores LATAM descargando reportes/estructuras · Estimado 75 GB/mes salida</t>
  </si>
  <si>
    <t>Reportes PDF ~2MB + estructuras CIF ~5MB × casos activos. CDN reduce costo.</t>
  </si>
  <si>
    <t>Subtotal — GCP Cloud Storage</t>
  </si>
  <si>
    <t>▌  3.  GCP — NETWORKING, API GATEWAY &amp; SEGURIDAD</t>
  </si>
  <si>
    <t>Cloud Load Balancing + Cloud CDN</t>
  </si>
  <si>
    <t>Global HTTPS LB · $0.008/GB procesado · CDN para estructuras 3D y dashboards · 150 usuarios activos + aplicaciones móviles CONAFOR</t>
  </si>
  <si>
    <t>LB: $18/mes base + $0.008/GB. CDN ahorra egress para assets estáticos (estructuras CIF).</t>
  </si>
  <si>
    <t>API Gateway / Cloud Endpoints</t>
  </si>
  <si>
    <t>API REST para integración IMSS/ISSSTE, apps móviles, intranet investigadores · 10M calls/mes estimado en escala plena</t>
  </si>
  <si>
    <t>$3.50/M API calls primeros 2M, luego $1.50/M. Incluye quota management y API keys por institución.</t>
  </si>
  <si>
    <t>Cloud Armor (WAF + DDoS)</t>
  </si>
  <si>
    <t>Protección WAF para APIs genómicas · HIPAA compliance · $5/política + $0.75/M requests protegidas</t>
  </si>
  <si>
    <t>Dato médico sensible requiere protección WAF. HIPAA BAA con GCP.</t>
  </si>
  <si>
    <t>VPC + Interconnect (privado centros investigación)</t>
  </si>
  <si>
    <t>Cloud VPN HA para conexión IMSS/ISSSTE/INMEGEN · $0.05/hr por túnel</t>
  </si>
  <si>
    <t>2 túneles HA VPN: UNISON Hermosillo + INMEGEN CDMX. Transferencia segura muestras NGS.</t>
  </si>
  <si>
    <t>Subtotal — GCP Networking &amp; API</t>
  </si>
  <si>
    <t>▌  4.  GCP — OpenShift / GKE · DevOps · MLOps · Monitoreo Grafana</t>
  </si>
  <si>
    <t>GKE (Google Kubernetes Engine) — Cluster Microservicios</t>
  </si>
  <si>
    <t>3 nodos e2-standard-4 (always-on) + autoscale 1-8 nodos · Microservicios: consulta resultados, API genómica, portal investigadores LATAM</t>
  </si>
  <si>
    <t>e2-standard-4: $0.134/hr. GKE management fee: $72/mes. Istio service mesh incluido.</t>
  </si>
  <si>
    <t>OpenShift on GCP (ROSA equivalent) — Apps Institucionales</t>
  </si>
  <si>
    <t>OpenShift 4.x en GCP · Control plane managed · Workers n2-standard-4 · Apps intranet IMSS/ISSSTE + portal genómico + app móvil backend</t>
  </si>
  <si>
    <t>OpenShift Enterprise: ~$0.11/vCPU/hr. 4 workers × 4 vCPU = ~$1,267/mes base. Factor ramp.</t>
  </si>
  <si>
    <t>Cloud Build + Artifact Registry (CI/CD)</t>
  </si>
  <si>
    <t>CI/CD para pipelines bioinformáticos + microservicios · 120 builds/mes · Docker images · GitHub Enterprise integration</t>
  </si>
  <si>
    <t>Cloud Build: primeros 120min/día gratis. Artifact Registry: $0.10/GB. GitHub Enterprise separado.</t>
  </si>
  <si>
    <t>Vertex AI Pipelines (MLOps — Kubeflow Pipelines)</t>
  </si>
  <si>
    <t>Orquestación pipelines NGS, entrenamiento modelos variantes, inferencia batch · 5 pipelines paralelos por centro</t>
  </si>
  <si>
    <t>Vertex AI Pipelines: $0.03/vCPU-hr + $0.005/GB-hr. Reemplaza Airflow self-managed.</t>
  </si>
  <si>
    <t>Vertex AI Model Registry + Endpoint (modelo variantes)</t>
  </si>
  <si>
    <t>Registro versiones modelos ML (clasificación VUS, predicción afinidad) · Endpoints para inferencia online &lt;500ms · Explicabilidad integrada</t>
  </si>
  <si>
    <t>Vertex AI Prediction: $0.051/hr nodo n1-standard-4. 1 endpoint always-on + batch prediction.</t>
  </si>
  <si>
    <t>Grafana Cloud (monitoreo integral)</t>
  </si>
  <si>
    <t>Grafana Cloud Pro · Métricas GCP + Databricks + pipelines Nextflow · Dashboards: GPU utilization, pipeline success rate, costo/muestra, alertas</t>
  </si>
  <si>
    <t>Grafana Cloud Pro: $299/mes (50K métricas). Integra con Cloud Monitoring via plugin. Dashboards: NGS throughput, docking queue, GPU %, Databricks job latency.</t>
  </si>
  <si>
    <t>Cloud Monitoring + Logging + Trace</t>
  </si>
  <si>
    <t>Operations Suite (stackdriver) · Logs retención 30 días · Custom metrics pipelines bioinformáticos · Budget alerts</t>
  </si>
  <si>
    <t>First 50GB logs/mes gratis. Custom metrics: $0.10/metric/mes. Trace: $0.20/M spans.</t>
  </si>
  <si>
    <t>Subtotal — OpenShift/GKE + DevOps + MLOps + Grafana</t>
  </si>
  <si>
    <t>▌  5.  GCP — BigQuery (SQL Warehouse Genómico) + Looker Studio Dashboards</t>
  </si>
  <si>
    <t>BigQuery — SQL Warehouse Genómico</t>
  </si>
  <si>
    <t>Almacén central: mutaciones somáticas, variantes anotadas, métricas docking · 18.0 TB activo · $5/TB consultas · Storage $0.020/GB/mes</t>
  </si>
  <si>
    <t>BQ free: 10GB storage + 1TB queries/mes. Superado a partir Año 2. Flat-rate $2,000/mes considerado Año 3 si queries &gt;10TB/mes.</t>
  </si>
  <si>
    <t>Looker Studio Pro — Dashboards Investigadores</t>
  </si>
  <si>
    <t>Dashboards interactivos: distribución variantes, heatmap docking, progreso cohorte por centro · 150 usuarios · $9/usuario/mes (Pro)</t>
  </si>
  <si>
    <t>Looker Studio Pro $9/user/mes. Free tier suficiente para vistas básicas. Pro para BI embedido en portal investigadores y exportación a apps intranet.</t>
  </si>
  <si>
    <t>DataFlow (ETL ingesta datos clínicos)</t>
  </si>
  <si>
    <t>Ingesta automatizada: cBioPortal API, GDC API, INMEGEN, IMSS/ISSSTE · Streaming + batch · Procesamiento JSON → BigQuery</t>
  </si>
  <si>
    <t>Dataflow: $0.056/vCPU-hr + $0.003756/GB-hr. Pipelines Nextflow complementan Dataflow.</t>
  </si>
  <si>
    <t>Subtotal — BigQuery + Looker Studio</t>
  </si>
  <si>
    <t>▌  6.  GCP — SEGURIDAD, IAM &amp; COMPLIANCE (MFA, HIPAA, LGPD México)</t>
  </si>
  <si>
    <t>Cloud Identity + MFA (Autenticación Multifactor)</t>
  </si>
  <si>
    <t>Cloud Identity Premium · 150 usuarios investigadores + 15 admins · MFA: Google Authenticator / hardware keys · SSO SAML institucional</t>
  </si>
  <si>
    <t>Cloud Identity Premium: $6/usuario/mes. 165 usuarios totales (150 inv + 15 admin). MFA obligatorio para acceso a datos genómicos. LGPD México + HIPAA BAA.</t>
  </si>
  <si>
    <t>Secret Manager + KMS (cifrado llaves API)</t>
  </si>
  <si>
    <t>Gestión segura de API keys: ChEMBL, UniProt, cBioPortal, GDC, INMEGEN · KMS para cifrado datos en reposo (datos pacientes)</t>
  </si>
  <si>
    <t>Secret Manager: $0.06/secret/mes + $0.03/10K accesos. KMS: $0.06/llave/mes. Cifrado AES-256 datos NGS. Requerido para BAA con GCP y cumplimiento NOM-024.</t>
  </si>
  <si>
    <t>Cloud DLP (Data Loss Prevention — datos pacientes)</t>
  </si>
  <si>
    <t>Inspección automática PII en outputs: nombres, IDs, datos clínicos · Previene exposición accidental de datos de pacientes</t>
  </si>
  <si>
    <t>Cloud DLP: $0.001/GB inspeccionado. Crítico para LGPD México y privacidad datos oncológicos.</t>
  </si>
  <si>
    <t>Access Context Manager + VPC Service Controls</t>
  </si>
  <si>
    <t>Perímetro de seguridad para datos genómicos · Solo acceso desde IPs autorizadas · Audit logs completos para trazabilidad científica</t>
  </si>
  <si>
    <t>VPC SC previene exfiltración datos. Requerido para datos TCGA y datos clínicos IMSS/ISSSTE.</t>
  </si>
  <si>
    <t>Subtotal — Seguridad &amp; Compliance</t>
  </si>
  <si>
    <t>▌  7.  DATABRICKS on GCP — Medallion Delta (Bronze/Silver/Gold) + MLOps + SQL Warehouse</t>
  </si>
  <si>
    <t>Databricks — Jobs Compute (pipelines ETL Medallion)</t>
  </si>
  <si>
    <t>Delta Lake Bronze→Silver→Gold · ETL mutaciones, variantes anotadas, docking scores · ~375 DBU/mes · $0.15/DBU (Jobs Compute)</t>
  </si>
  <si>
    <t>Medallion Bronze: ingesta raw JSON/VCF. Silver: normalización, filtros Tier 1/2/3. Gold: cohorte analítica, variantes × fármaco, métricas por centro. Delta tables con ACID transactions para reproducibilidad.</t>
  </si>
  <si>
    <t>Databricks — SQL Warehouse (consultas investigadores)</t>
  </si>
  <si>
    <t>SQL Serverless Warehouse · 10 DBU/hr mínimo · Consultas ad-hoc sobre cohortes · Conexión Power BI / Looker para dashboards científicos</t>
  </si>
  <si>
    <t>SQL Warehouse Serverless: $0.22/DBU. 8hr/día uso activo × 22 días. Auto-suspend 10 min. Acceso 150 investigadores para consultas SQL genómicas.</t>
  </si>
  <si>
    <t>Databricks — All-Purpose Cluster (exploración científica)</t>
  </si>
  <si>
    <t>Jupyter notebooks interactivos · Análisis exploratorio cohortes · Visualizaciones Plotly · 4 clusters × investigadores principales</t>
  </si>
  <si>
    <t>All-Purpose: $0.40/DBU. 4 DBU/hr por cluster. 4hr/día análisis interactivo. Glow library para análisis variantes genómicas en Spark.</t>
  </si>
  <si>
    <t>Databricks — MLflow (tracking experimentos ML)</t>
  </si>
  <si>
    <t>Tracking automático: hiperparámetros modelos variantes, métricas RMSD, scores docking Vina, comparativas WT vs Mutada por cohorte</t>
  </si>
  <si>
    <t>MLflow Managed: incluido en licencia Databricks. Modelo registry para versionar clasificadores VUS → Patogénica.</t>
  </si>
  <si>
    <t>Databricks — Delta Sharing (colaboración LATAM)</t>
  </si>
  <si>
    <t>Compartir Delta tables con investigadores latinoamericanos sin mover datos · 15 investigadores externos (read-only access) · Auditoría completa</t>
  </si>
  <si>
    <t>Delta Sharing open protocol. Investigadores Argentina, Chile, Colombia pueden consultar cohorte mexicana sin descarga. Governance con Unity Catalog.</t>
  </si>
  <si>
    <t>Databricks — Unity Catalog (gobernanza datos)</t>
  </si>
  <si>
    <t>Catálogo central: tablas genómicas, modelos ML, notebooks científicos · Control acceso por institución · Lineage de datos</t>
  </si>
  <si>
    <t>Unity Catalog: incluido en licencias Premium. Esencial para cumplimiento científico (reproducibilidad) y regulatorio (LGPD/NOM-024).</t>
  </si>
  <si>
    <t>Subtotal — Databricks on GCP — Medallion + MLOps</t>
  </si>
  <si>
    <t>▌  8.  GEMINI LLM + RAG — Asistente Científico para Equipos de Investigación</t>
  </si>
  <si>
    <t>Gemini 1.5 Pro API — RAG Científico</t>
  </si>
  <si>
    <t>RAG sobre literatura oncológica, ClinVar, OncoKB, ChEMBL · Consultas: '¿Qué fármacos existen para PIK3CA H1047R?' · Estimado 1,000 queries/mes × investigadores</t>
  </si>
  <si>
    <t>Gemini 1.5 Pro: $0.0125/1K tokens input, $0.0375/1K output. Query típico ~2K tokens. RAG base: PubMed oncología, FDA labels, ClinVar.</t>
  </si>
  <si>
    <t>Vertex AI Vector Search (embeddings RAG)</t>
  </si>
  <si>
    <t>Índice vectorial literatura científica oncológica · 50K documentos: papers PubMed, ficha técnica fármacos, reportes ClinVar · Actualización mensual automática</t>
  </si>
  <si>
    <t>Vertex AI Vector Search: $0.036/hr por nodo. 1 nodo suficiente para 50K docs. Embeddings: text-embedding-004 $0.025/M tokens.</t>
  </si>
  <si>
    <t>Gemini — Generación Reportes Clínicos Automatizada</t>
  </si>
  <si>
    <t>Auto-generación reportes por variante: resumen ejecutivo, métricas estructurales, candidatos farmacológicos, recomendación clínica · PDF/HTML</t>
  </si>
  <si>
    <t>Reporte por variante ~5K tokens output. Gemini 1.5 Flash $0.0001875/1K tokens output para reportes batch económicos.</t>
  </si>
  <si>
    <t>Subtotal — Gemini LLM + RAG</t>
  </si>
  <si>
    <t>▌  9.  ANTIGRAVITY IDE — Licencias Equipo Desarrollo &amp; Soporte</t>
  </si>
  <si>
    <t>Antigravity IDE — Licencias Desarrolladores</t>
  </si>
  <si>
    <t>10 licencias desarrolladores/bioinformáticos · Planning Mode + Gemini 3 Pro · Desarrollo pipeline GEN-MAMA-MX, microservicios, MLOps</t>
  </si>
  <si>
    <t>Antigravity IDE (Google): ~$30/usuario/mes estimado. Usado en prototipo actual (Claude Sonnet + Gemini 3 Pro). Acelera desarrollo 4x vs IDE tradicional según documentación proyecto.</t>
  </si>
  <si>
    <t>Capacitación IA Agéntica + LLM RAGs en Gemini</t>
  </si>
  <si>
    <t>Workshop 40 horas: agentes IA, RAG científico, prompt engineering para oncología · 50 usuarios (investigadores + soporte técnico)</t>
  </si>
  <si>
    <t>$150/usuario por workshop completo. Google Cloud Skills Boost + instructor especializado. Incluye: Gemini API, Vertex AI, RAG construction, agentes para análisis genómico.</t>
  </si>
  <si>
    <t>Subtotal — Antigravity IDE + Capacitación IA</t>
  </si>
  <si>
    <t>▌  10.  CAPACITACIÓN — GCP, Databricks, Pipeline GEN-MAMA-MX (50 usuarios)</t>
  </si>
  <si>
    <t>GCP Fundamentals + Bioinformatics on GCP</t>
  </si>
  <si>
    <t>50 usuarios · Google Cloud Skills Boost · 20 cursos especializados · Bioinformatics on GCP, Vertex AI, BigQuery genomics</t>
  </si>
  <si>
    <t>$300/usuario cloud training completo (año). Google for Startups reduce 30% para académicos. Certificación: Professional Data Engineer recomendada para equipo técnico.</t>
  </si>
  <si>
    <t>Databricks Fundamentals + Genomics Lakehouse</t>
  </si>
  <si>
    <t>50 usuarios · Databricks Academy · Delta Lake, MLflow, Unity Catalog · Especialización: Glow genomics library, VariantSpark</t>
  </si>
  <si>
    <t>$200/usuario Databricks Academy (año). Incluye: Databricks Certified Associate. Genomics Lakehouse track: Delta tables para VCF/FASTQ processing.</t>
  </si>
  <si>
    <t>Pipeline GEN-MAMA-MX — Capacitación Interna</t>
  </si>
  <si>
    <t>Taller personalizado 32 hrs: uso de la plataforma, interpretación resultados docking, flujo biopsia→reporte, validación clínica · Para oncólogos y bioinformáticos</t>
  </si>
  <si>
    <t>$80/usuario taller interno con instructor UNISON. Incluye: demo con TCGA-BRCA, casos reales PIK3CA H1047R, interpretación alpelisib.</t>
  </si>
  <si>
    <t>Subtotal — Capacitación GCP + Databricks + Pipeline</t>
  </si>
  <si>
    <t>▌  11.  SOPORTE TÉCNICO — Plataformas Cloud + Bioinformática</t>
  </si>
  <si>
    <t>GCP Premium Support</t>
  </si>
  <si>
    <t>Premium Support GCP · SLA 1hr respuesta P1 · TAM dedicado · Revisión arquitectura bioinformática trimestral</t>
  </si>
  <si>
    <t>GCP Premium Support: máx(3% gasto mensual, $1,500). Incluye Technical Account Manager. Requerido para SLA productivo con datos clínicos.</t>
  </si>
  <si>
    <t>Databricks Enterprise Support</t>
  </si>
  <si>
    <t>Enterprise Support Databricks · 24/7 · SLA 4hr P1 · Expert sessions MLOps y genomics Lakehouse</t>
  </si>
  <si>
    <t>Databricks Enterprise Support: incluido en licencia Enterprise. Costo separado si se usa Pay-as-you-go: ~$800/mes.</t>
  </si>
  <si>
    <t>Soporte Bioinformático Especializado (L2/L3)</t>
  </si>
  <si>
    <t>2 bioinformáticos cloud (FTE 0.5) · Soporte pipelines Nextflow, GATK, Boltz-2, AutoDock Vina · Troubleshooting NGS análisis</t>
  </si>
  <si>
    <t>Bioinformático cloud LATAM: ~$3,000/mes (medio tiempo). Alternativa: contrato soporte con Hospital Albert Einstein / Varsomics Brasil.</t>
  </si>
  <si>
    <t>Soporte Usuarios Investigadores (helpdesk)</t>
  </si>
  <si>
    <t>L1 helpdesk para 150 investigadores · Portal resultados, apps móviles · Documentación, videos tutoriales, FAQ genómico</t>
  </si>
  <si>
    <t>0.5 FTE helpdesk + base conocimiento Confluence. SLA 24hr para investigadores, 4hr para oncólogos IMSS en producción.</t>
  </si>
  <si>
    <t>Subtotal — Soporte Técnico</t>
  </si>
  <si>
    <t>▌  12.  SERVICIOS PROFESIONALES — Desarrollo, Integración, MLOps</t>
  </si>
  <si>
    <t>Desarrollo Pipeline Bioinformático (DevOps/Bioinformática)</t>
  </si>
  <si>
    <t>Equipo 3 devs × 3 años · Nextflow pipeline manager, integración cBioPortal+GDC+INMEGEN, portal investigadores LATAM</t>
  </si>
  <si>
    <t>$5,000/mes por desarrollador bioinformático senior LATAM. Incluye: pipelines Nextflow WDL, API integrations, frontend portal, CI/CD.</t>
  </si>
  <si>
    <t>MLOps Engineering (Vertex AI + Databricks)</t>
  </si>
  <si>
    <t>1.5 FTE MLOps · Kubeflow Pipelines, MLflow tracking, model versioning, A/B testing modelos variantes, monitoreo drift</t>
  </si>
  <si>
    <t>$6,000/mes MLOps engineer senior. Entregables: pipelines entrenamiento automático, inferencia batch 30K casos/año.</t>
  </si>
  <si>
    <t>Integración IMSS/ISSSTE/INMEGEN</t>
  </si>
  <si>
    <t>Consultoría integración sistemas institucionales · API FHIR HL7 · NOM-024 cumplimiento · Piloto Hermosillo 6 meses</t>
  </si>
  <si>
    <t>$2,000/mes consultoría integración HL7/FHIR. Requerido para transferir datos NGS IMSS → plataforma GCP. NOM-024-SSA3.</t>
  </si>
  <si>
    <t>Desarrollo App Móvil + Intranet Investigadores</t>
  </si>
  <si>
    <t>App iOS/Android para acceso resultados en campo · Portal web intranet para oncólogos · React Native + microservicios GKE</t>
  </si>
  <si>
    <t>$3,000/mes mantenimiento app post-desarrollo inicial. Año 1: desarrollo activo. Año 2-3: mantenimiento + features.</t>
  </si>
  <si>
    <t>Subtotal — Servicios Profesionales</t>
  </si>
  <si>
    <t>▌  13.  LICENCIAS SOFTWARE — MongoDB Atlas, Nextflow Tower, GitHub Enterprise, otros</t>
  </si>
  <si>
    <t>MongoDB Atlas (nube — fase análisis)</t>
  </si>
  <si>
    <t>M10 cluster · 2GB RAM · Almacén intermedio ingesta · Colecciones: mutations, top_variants, fasta_sequences</t>
  </si>
  <si>
    <t>MongoDB Atlas M10: $57/mes. Reemplaza MongoDB local para ambiente cloud. Solo fase análisis; Gold layer usa BigQuery + Delta Lake.</t>
  </si>
  <si>
    <t>Nextflow Tower (orquestación pipelines NGS)</t>
  </si>
  <si>
    <t>Nextflow Tower Pro · Orquestación visual pipelines NGS en GCP · 5 pipelines paralelos · Integración GitHub</t>
  </si>
  <si>
    <t>Nextflow Tower Pro: ~$500/mes (10 workspaces). Workflows: GATK WES, Boltz-2 batch, docking paralelo, QC reports.</t>
  </si>
  <si>
    <t>GitHub Enterprise (control versiones + CI/CD)</t>
  </si>
  <si>
    <t>50 licencias · Actions ilimitadas · Advanced Security · Dependabot para dependencias bioinformáticas</t>
  </si>
  <si>
    <t>GitHub Enterprise: $21/usuario/mes. Repositorios: pipeline GEN-MAMA-MX, microservicios, infraestructura IaC (Terraform).</t>
  </si>
  <si>
    <t>Tableau / PowerBI (alternativa Looker Studio)</t>
  </si>
  <si>
    <t>Dashboards avanzados para presentaciones institucionales · 20 licencias para PIs y administradores</t>
  </si>
  <si>
    <t>Tableau Creator: $70/usuario/mes. Alternativa a Looker Studio Pro para reportes ejecutivos CONACYT, Google.org, publicaciones científicas.</t>
  </si>
  <si>
    <t>Jira + Confluence (gestión proyecto científico)</t>
  </si>
  <si>
    <t>Backlog bioinformático, sprints, documentación técnica · 20 usuarios equipo desarrollo + PIs</t>
  </si>
  <si>
    <t>Atlassian Cloud Standard: $8.15/usuario/mes. Usado en prototipo (ver GENMAMAMX_Backlog_Prototipo.docx).</t>
  </si>
  <si>
    <t>Subtotal — Licencias Software Adicionales</t>
  </si>
  <si>
    <t>TOTAL Año1 — GEN-MAMA-MX</t>
  </si>
  <si>
    <t>Factor ramp: 30% | Casos NGS/año: 9,000 | Centros: 5</t>
  </si>
  <si>
    <t>GEN-MAMA-MX — Estimación de Costos Año2  | Factor de rampa: 65% | Casos NGS: 19,500 | Centros activos: 12</t>
  </si>
  <si>
    <t>n1-standard-8 + NVIDIA T4 GPU · 142 GPU-hrs/mes · $1.40/hr · Predicción estructural 3D para 1,625 casos/mes × 15 genes objetivo</t>
  </si>
  <si>
    <t>Preemptible T4: $0.35/hr · Ahorro 75% en lotes no urgentes · Docking masivo (Vina GPU): 17,875 pares receptor-ligando/mes</t>
  </si>
  <si>
    <t>n2-highcpu-32 · $0.94/hr · GATK/BWA/DeepVariant · 4,062 CPU-hrs/mes para 1,625 exomas/mes</t>
  </si>
  <si>
    <t>Standard Storage · 61.9 TB acumulado · $0.020/GB/mes · FASTQ 2×150bp WES (~5GB/muestra) + BAM + VCF raw</t>
  </si>
  <si>
    <t>Nearline Storage · 9.28 TB · $0.010/GB/mes · JSON anotados, FASTA WT/mutados por variante, métricas pLDDT</t>
  </si>
  <si>
    <t>Standard Storage · 0.93 TB estructuras CIF/PDB + 0.93 TB · $0.020/GB/mes · mmCIF Boltz-2, poses docking PDBQT, reportes HTML/PDF</t>
  </si>
  <si>
    <t>Egress internet: $0.08/GB · Investigadores LATAM descargando reportes/estructuras · Estimado 162 GB/mes salida</t>
  </si>
  <si>
    <t>Orquestación pipelines NGS, entrenamiento modelos variantes, inferencia batch · 12 pipelines paralelos por centro</t>
  </si>
  <si>
    <t>Almacén central: mutaciones somáticas, variantes anotadas, métricas docking · 39.0 TB activo · $5/TB consultas · Storage $0.020/GB/mes</t>
  </si>
  <si>
    <t>Delta Lake Bronze→Silver→Gold · ETL mutaciones, variantes anotadas, docking scores · ~812 DBU/mes · $0.15/DBU (Jobs Compute)</t>
  </si>
  <si>
    <t>RAG sobre literatura oncológica, ClinVar, OncoKB, ChEMBL · Consultas: '¿Qué fármacos existen para PIK3CA H1047R?' · Estimado 2,400 queries/mes × investigadores</t>
  </si>
  <si>
    <t>Nextflow Tower Pro · Orquestación visual pipelines NGS en GCP · 12 pipelines paralelos · Integración GitHub</t>
  </si>
  <si>
    <t>TOTAL Año2 — GEN-MAMA-MX</t>
  </si>
  <si>
    <t>Factor ramp: 65% | Casos NGS/año: 19,500 | Centros: 12</t>
  </si>
  <si>
    <t>GEN-MAMA-MX — Estimación de Costos Año3  | Factor de rampa: 100% | Casos NGS: 30,000 | Centros activos: 20</t>
  </si>
  <si>
    <t>n1-standard-8 + NVIDIA T4 GPU · 219 GPU-hrs/mes · $1.40/hr · Predicción estructural 3D para 2,500 casos/mes × 15 genes objetivo</t>
  </si>
  <si>
    <t>Preemptible T4: $0.35/hr · Ahorro 75% en lotes no urgentes · Docking masivo (Vina GPU): 27,500 pares receptor-ligando/mes</t>
  </si>
  <si>
    <t>n2-highcpu-32 · $0.94/hr · GATK/BWA/DeepVariant · 6,250 CPU-hrs/mes para 2,500 exomas/mes</t>
  </si>
  <si>
    <t>Standard Storage · 146.5 TB acumulado · $0.020/GB/mes · FASTQ 2×150bp WES (~5GB/muestra) + BAM + VCF raw</t>
  </si>
  <si>
    <t>Nearline Storage · 21.97 TB · $0.010/GB/mes · JSON anotados, FASTA WT/mutados por variante, métricas pLDDT</t>
  </si>
  <si>
    <t>Standard Storage · 2.20 TB estructuras CIF/PDB + 2.20 TB · $0.020/GB/mes · mmCIF Boltz-2, poses docking PDBQT, reportes HTML/PDF</t>
  </si>
  <si>
    <t>Egress internet: $0.08/GB · Investigadores LATAM descargando reportes/estructuras · Estimado 250 GB/mes salida</t>
  </si>
  <si>
    <t>Orquestación pipelines NGS, entrenamiento modelos variantes, inferencia batch · 20 pipelines paralelos por centro</t>
  </si>
  <si>
    <t>Almacén central: mutaciones somáticas, variantes anotadas, métricas docking · 60.0 TB activo · $5/TB consultas · Storage $0.020/GB/mes</t>
  </si>
  <si>
    <t>Delta Lake Bronze→Silver→Gold · ETL mutaciones, variantes anotadas, docking scores · ~1,250 DBU/mes · $0.15/DBU (Jobs Compute)</t>
  </si>
  <si>
    <t>RAG sobre literatura oncológica, ClinVar, OncoKB, ChEMBL · Consultas: '¿Qué fármacos existen para PIK3CA H1047R?' · Estimado 4,000 queries/mes × investigadores</t>
  </si>
  <si>
    <t>Nextflow Tower Pro · Orquestación visual pipelines NGS en GCP · 20 pipelines paralelos · Integración GitHub</t>
  </si>
  <si>
    <t>TOTAL Año3 — GEN-MAMA-MX</t>
  </si>
  <si>
    <t>Factor ramp: 100% | Casos NGS/año: 30,000 | Centros: 20</t>
  </si>
  <si>
    <t>🔬  AlphaFold 3 (Google DeepMind) — Estrategia de Acceso Automatizado y Estimación de Costos</t>
  </si>
  <si>
    <t>GEN-MAMA-MX · Predicción estructural 3D proteínas Wild-Type y Mutadas  ·  Pipeline batch automatizado para 30,000 casos/año  ·  Actualizado Marzo 2026</t>
  </si>
  <si>
    <t>RESUMEN EJECUTIVO:  AlphaFold 3 (AF3) de Google DeepMind / Isomorphic Labs es la herramienta de predicción estructural más precisa del mundo para proteínas, DNA, RNA y ligandos. Para GEN-MAMA-MX existe una jerarquía de 4 modos de acceso: (1) AlphaFold Server GRATIS limitado a 30 jobs/día — para prototipado; (2) AF3 self-hosted en GCP A100 ~$0.47/predicción — para producción; (3) AlphaFast serverless vía Modal ~$0.035/predicción — para alto throughput; (4) AlphaFold DB GRATIS — para proteínas WT ya predichas (≥200M estructuras disponibles). El modelo recomendado para GEN-MAMA-MX combina AlphaFold DB (descarga gratuita WT) + AF3 self-hosted (solo mutadas).</t>
  </si>
  <si>
    <t>📋  MODOS DE ACCESO A AlphaFold 3 — Comparativa</t>
  </si>
  <si>
    <t>Modo de Acceso</t>
  </si>
  <si>
    <t>Descripción y Limitaciones</t>
  </si>
  <si>
    <t>Costo</t>
  </si>
  <si>
    <t>Throughput</t>
  </si>
  <si>
    <t>Requiere GPU</t>
  </si>
  <si>
    <t>Recomendación GEN-MAMA-MX</t>
  </si>
  <si>
    <t>① AlphaFold Server
(Web UI / JSON upload)</t>
  </si>
  <si>
    <t>Gratis. alphafoldserver.com. 30 jobs/día/cuenta. Soporta proteínas, DNA, RNA, ligandos. JSON batch upload: hasta 100 drafts por archivo, máx 500 drafts en historial. Sólo uso no-comercial (CC-BY-NC-SA 4.0). Sin API oficial pública.</t>
  </si>
  <si>
    <t>$0 (GRATIS)</t>
  </si>
  <si>
    <t>30 jobs/día por cuenta</t>
  </si>
  <si>
    <t>No (cloud DeepMind)</t>
  </si>
  <si>
    <t>✅ PROTOTIPO / Validación
⚠️ Solo 30 genes WT por día</t>
  </si>
  <si>
    <t>② AlphaFold 3 Self-Hosted
en GCP (A100/H100)</t>
  </si>
  <si>
    <t>Código open-source (CC-BY-NC-SA 4.0). Pesos solicitados vía Google Form. Instalación Docker en VM GCP a2-ultragpu-1g (A100 80GB). Bases de datos: ~1 TB SSD. RAM mínimo 64GB. Batch vía JSON. Requiere aprobación de DeepMind (2-3 días hábiles). Solo uso académico/no-comercial. Modelo oficial: a2-ultragpu-1g = 12 CPUs, 170GB RAM, 1 TB SSD + A100 80GB.</t>
  </si>
  <si>
    <t>~$3.67/hr (a2-highgpu)
~$0.47/predicción
(~8 min/pred, 7-8 preds/hr)</t>
  </si>
  <si>
    <t>7-8 preds/hr/GPU
→ 56-64 preds/día por VM</t>
  </si>
  <si>
    <t>✅ A100 80GB obligatorio
(Compute Cap 8.0+)</t>
  </si>
  <si>
    <t>✅ PRODUCCIÓN
Mejor para mutadas
Control total</t>
  </si>
  <si>
    <t>③ AlphaFast (AlphaFold 3
GPU-accelerated, serverless)</t>
  </si>
  <si>
    <t>Framework open-source (RomeroLab/alphafast, Feb 2026). Reemplaza CPU-bound MSA por MMseqs2-GPU. 22.8× más rápido que AF3 estándar. Deployment serverless vía Modal (proveedor cloud). Requiere pesos AF3 de Google + cuenta Modal. 8 segundos/input con 4×H200 GPUs. $0.035/predicción en H200.</t>
  </si>
  <si>
    <t>$0.035/predicción
(Modal serverless)
22.8× más rápido que AF3</t>
  </si>
  <si>
    <t>8 seg/pred con 4×H200
→ ~10,800 preds/día por nodo
Ideal para batches grandes</t>
  </si>
  <si>
    <t>✅ H200 GPU (Modal)
No requiere VM propia</t>
  </si>
  <si>
    <t>✅ ALTO THROUGHPUT
Año 2-3 cuando volumen
&gt;1,000 preds/mes</t>
  </si>
  <si>
    <t>④ AlphaFold Protein
Structure Database (EBI)</t>
  </si>
  <si>
    <t>Base de datos GRATIS: &gt;200 millones de estructuras pre-calculadas. Incluye proteoma humano completo. Acceso REST API del EMBL-EBI. Descarga individual por UniProt ID o proteomas completos. Licencia CC-BY-4.0 (uso académico Y comercial). Sin límite de descarga. Solo cubre proteínas Wild-Type (WT). Mutadas NO están en la DB.</t>
  </si>
  <si>
    <t>$0 (GRATIS)
Sin límite descarga
CC-BY-4.0</t>
  </si>
  <si>
    <t>Sin límite — API REST
Descarga masiva OK
No requiere GPU</t>
  </si>
  <si>
    <t>❌ No requiere GPU</t>
  </si>
  <si>
    <t>✅ USAR PRIMERO para WT
Caché local en GCS
Evita re-computar WT</t>
  </si>
  <si>
    <t>⑤ ColabFold
(AlphaFold2 / AF3-like)</t>
  </si>
  <si>
    <t>Alternativa open-source. AlphaFold2 + MMseqs2. Google Colab T4 gratuito (limitado). Colab Pro $10/mes. Sin restricción de uso comercial. Para proteínas &lt;390aa. Útil como fallback si AF3 self-hosted no está disponible.</t>
  </si>
  <si>
    <t>$0-$10/mes (Colab Pro)
~$0.47/pred en GCP T4</t>
  </si>
  <si>
    <t>~3 preds/hr en T4
Google Colab</t>
  </si>
  <si>
    <t>✅ T4 GPU (Colab)
o GCP VM</t>
  </si>
  <si>
    <t>⚠️ BACKUP / Fallback
Menos preciso que AF3
Ya usado en prototipo</t>
  </si>
  <si>
    <t>🎯  ESTRATEGIA RECOMENDADA GEN-MAMA-MX — Flujo Automatizado de AlphaFold3</t>
  </si>
  <si>
    <t>PASO 1</t>
  </si>
  <si>
    <t>Consultar AlphaFold DB (EMBL-EBI) para proteínas WT</t>
  </si>
  <si>
    <t>GET https://alphafold.ebi.ac.uk/api/prediction/{UniProt_ID}
Descarga automática PDB/mmCIF. Script Python: requests + UniProt ID de fetch_fasta.py.
Si estructura WT existe en DB → DESCARGAR GRATIS. Si no → usar AF3 self-hosted.</t>
  </si>
  <si>
    <t>$0</t>
  </si>
  <si>
    <t>15 genes × única vez → caché en GCS</t>
  </si>
  <si>
    <t>PASO 2</t>
  </si>
  <si>
    <t>Batch JSON upload al AlphaFold Server (proteínas nuevas WT no en DB)</t>
  </si>
  <si>
    <t>Generar JSON batch con hasta 100 jobs. Subir vía alphafoldserver.com UI.
30 jobs/día. Para 15 genes WT → 1 día de procesamiento (solo primera vez).
Resultados: ZIP con CIF + fold_&lt;name&gt;_job_request.json (reproducible).</t>
  </si>
  <si>
    <t>$0
(30 jobs/día)</t>
  </si>
  <si>
    <t>30 jobs/día → ~15 genes WT en 1 día</t>
  </si>
  <si>
    <t>PASO 3</t>
  </si>
  <si>
    <t>AF3 Self-Hosted en GCP (VM a2-highgpu-1g) — Proteínas MUTADAS batch</t>
  </si>
  <si>
    <t>VM GCP a2-highgpu-1g: A100 40GB, 12 vCPUs, 85GB RAM. Docker container.
Pipeline: top_variants.json → generar JSON AF3 → run_alphafold.py --json_path batch.
Output GCS: gs://gemamx-gold/alphafold3/mutadas/{variante}_{cambio}/
Start/Stop automático con Vertex AI Pipelines: solo paga cuando corre.</t>
  </si>
  <si>
    <t>$3.67/hr × 8hr/día
→ $29.4/día
→ $0.47/pred</t>
  </si>
  <si>
    <t>~56 preds/día/VM
(A100 40GB @ 8min/pred)</t>
  </si>
  <si>
    <t>PASO 4</t>
  </si>
  <si>
    <t>AlphaFast (Modal serverless) — Escala masiva Año 2-3</t>
  </si>
  <si>
    <t>Modal.com: infraestructura serverless con H200 GPUs.
Script: pip install modal &amp;&amp; modal run alphafast_gemamx.py
Batch: 15 genes × variantes missense por muestra. Facturación por segundo.
Pesos AF3 almacenados en Modal Volume (persistente entre runs).</t>
  </si>
  <si>
    <t>$0.035/pred
(H200 serverless)</t>
  </si>
  <si>
    <t>28 seg/pred
→ 3,086 preds/día
× $0.035 = $108/día</t>
  </si>
  <si>
    <t>PASO 5</t>
  </si>
  <si>
    <t>Almacenamiento y caché en GCS — Bronze/Silver/Gold</t>
  </si>
  <si>
    <t>Bronze: raw ZIP de AF Server + JSON inputs → gs://gemamx-bronze/alphafold3/
Silver: CIF extraídos + metadata pLDDT → gs://gemamx-silver/structures/
Gold: estructuras validadas + manifest_structures.json → gs://gemamx-gold/structures/
scan_boltz.py (ya en pipeline) adaptado para AF3: scan_af3.py con glob CIF.
Lifecycle: Bronze → Nearline 30 días, Silver → Standard, Gold → siempre Standard.</t>
  </si>
  <si>
    <t>~$0.020/GB/mes
(GCS Standard Gold)
~$0.010/GB Nearline</t>
  </si>
  <si>
    <t>~5MB/estructura CIF
15 genes × 30K casos
→ ~2.25 TB/año Gold</t>
  </si>
  <si>
    <t>💰  ESTIMACIÓN DE COSTOS AlphaFold3 por AÑO — GEN-MAMA-MX (30K casos/año meta)</t>
  </si>
  <si>
    <t>Componente</t>
  </si>
  <si>
    <t>Detalle del Costo</t>
  </si>
  <si>
    <t>Año 1 (9K casos)</t>
  </si>
  <si>
    <t>Año 2 (19.5K casos)</t>
  </si>
  <si>
    <t>Año 3 (30K casos)</t>
  </si>
  <si>
    <t>Notas</t>
  </si>
  <si>
    <t>AlphaFold DB — Descarga WT
(API REST EMBL-EBI)</t>
  </si>
  <si>
    <t>15 genes únicos × 1 descarga. API: alphafold.ebi.ac.uk/api/prediction/{UniProt_ID}. Datos CC-BY-4.0 gratuitos. Caché local en GCS-Standard → 0.020/GB × ~0.075GB = $0.0015/mes.</t>
  </si>
  <si>
    <t>$0 (descarga)
+ $0.01/mes GCS</t>
  </si>
  <si>
    <t>$0 (cacheado)</t>
  </si>
  <si>
    <t>Gratis. Solo 15 genes × 1 PDB/CIF cada uno. Costo almacenamiento mínimo. UniProt IDs ya en fetch_fasta.py.</t>
  </si>
  <si>
    <t>AF Server (JSON batch)
— WT nuevas / validación</t>
  </si>
  <si>
    <t>30 jobs/día gratis. Año 1: ~15 nuevas predicciones WT (1 día). Año 2-3: reuso de caché. Posible registro de múltiples cuentas académicas UNISON/IMSS.</t>
  </si>
  <si>
    <t>Sin costo. Límite: 30 jobs/día. Multi-cuenta posible para investigadores. Alternativa para variantes complejas (proteína+ligando simultáneo).</t>
  </si>
  <si>
    <t>AF3 Self-Hosted GCP
a2-highgpu-1g (A100 40GB)
— Proteínas MUTADAS</t>
  </si>
  <si>
    <t>VM on-demand: $3.67/hr. Preemptible: $1.10/hr (70% descuento). 8 min/predicción → 7.5 preds/hr. Año1: 13,500 preds mutadas / 7.5 = 1,800 hrs GPU. Mix: 50% on-demand + 50% preemptible → $2.39/hr promedio.</t>
  </si>
  <si>
    <t>13,500 preds
× $0.32/pred (preemptible)
= $4,320</t>
  </si>
  <si>
    <t>48,750 preds
× $0.30/pred
= $14,625</t>
  </si>
  <si>
    <t>105,000 preds
× $0.28/pred
= $29,400</t>
  </si>
  <si>
    <t>Costos disminuyen Años 2-3 por: caché de variantes comunes, committed use discount (CUD 1 año = 37% off), y mayor % preemptible.</t>
  </si>
  <si>
    <t>AlphaFast (Modal)
— Alto throughput Año 2-3</t>
  </si>
  <si>
    <t>$0.035/pred serverless. H200 GPU. 28 seg/pred. Opción complementaria para lotes grandes cuando la VM AF3 está saturada. Requiere pesos AF3 y cuenta Modal (billing por segundo).</t>
  </si>
  <si>
    <t>$0
(no se usa Año 1)</t>
  </si>
  <si>
    <t>10,000 preds batch
× $0.035 = $350</t>
  </si>
  <si>
    <t>30,000 preds batch
× $0.035 = $1,050</t>
  </si>
  <si>
    <t>Se activa Año 2 para picos de demanda. Ahorro vs VM: $0.035 vs $0.30-0.47/pred (7-13× más barato por pred en volumen alto).</t>
  </si>
  <si>
    <t>GCS Storage — Estructuras
AF3 CIF/PDB (Gold layer)</t>
  </si>
  <si>
    <t>~5MB/estructura CIF. 15 genes × casos × variantes. Año1: 13,515 structs × 5MB = ~67.6GB. Año3: ~525GB. GCS Standard: $0.020/GB/mes.</t>
  </si>
  <si>
    <t>67.6 GB × $0.020
= $1.35/mes
= $16/año</t>
  </si>
  <si>
    <t>237 GB × $0.020
= $4.74/mes
= $57/año</t>
  </si>
  <si>
    <t>525 GB × $0.020
= $10.50/mes
= $126/año</t>
  </si>
  <si>
    <t>Bronze: ZIP originales → Nearline ($0.010/GB). Silver: CIF extraídos → Standard. Gold: final validados → Standard. Lifecycle rules en GCS reducen costo automáticamente.</t>
  </si>
  <si>
    <t>Egress — Descarga estructuras
para investigadores</t>
  </si>
  <si>
    <t>Investigadores descargan CIF/PDB para análisis local PyMOL/ChimeraX. ~5MB/estructura × N descargas. Egress GCP: $0.08/GB.</t>
  </si>
  <si>
    <t>~10GB/mes egress
× $0.08 = $0.80/mes
= $10/año</t>
  </si>
  <si>
    <t>~30GB/mes
= $2.40/mes
= $29/año</t>
  </si>
  <si>
    <t>~80GB/mes
= $6.40/mes
= $77/año</t>
  </si>
  <si>
    <t>CDN (Cloud CDN) puede reducir egress 60-70% para assets frecuentes. Estructuras WT son las más descargadas → candidatas a CDN.</t>
  </si>
  <si>
    <t>Administración y Setup
AF3 self-hosted</t>
  </si>
  <si>
    <t>Tiempo de bioinformático para: solicitar pesos AF3 a Google, setup Docker container GCP, pipeline automation Nextflow/Vertex AI, scripts JSON generation, scan_af3.py, monitoring.</t>
  </si>
  <si>
    <t>40 horas setup
× $50/hr = $2,000
(costo único Año 1)</t>
  </si>
  <si>
    <t>$0
(amortizado)</t>
  </si>
  <si>
    <t>Setup único. Incluye: request pesos Google (2-3 días hábiles), Docker build + test, pipeline JSON auto-generation desde top_variants.json, integración GCS output con scan_af3.py.</t>
  </si>
  <si>
    <t>TOTAL COSTO AlphaFold3 (AF3 self-hosted + AlphaFast + storage + egress)</t>
  </si>
  <si>
    <t>$6,346 / año</t>
  </si>
  <si>
    <t>$15,061 / año</t>
  </si>
  <si>
    <t>$30,653 / año</t>
  </si>
  <si>
    <t>Costo marginal por predicción mutada: Año1 $0.47 → Año3 $0.28 (por CUD + caché). WT: $0 usando DB. AlphaFast reduce a $0.035/pred para picos de volumen.</t>
  </si>
  <si>
    <t>⚙️  CÓDIGO PYTHON — Automatización Completa AlphaFold3 para GEN-MAMA-MX</t>
  </si>
  <si>
    <t>PASO 1 — Consultar AlphaFold DB (WT gratis)</t>
  </si>
  <si>
    <t xml:space="preserve">import requests, json
from pathlib import Path
def fetch_wt_from_alphafolddb(uniprot_id: str, gene: str, out_dir: Path) -&gt; str | None:
    """Descarga estructura WT de AlphaFold DB si existe. Retorna path CIF o None."""
    url = f"https://alphafold.ebi.ac.uk/api/prediction/{uniprot_id}"
    resp = requests.get(url, timeout=30)
    if resp.status_code != 200:
        return None  # No está en DB → usar AF3 self-hosted
    data = resp.json()[0]
    cif_url = data["cifUrl"]
    cif_resp = requests.get(cif_url, timeout=60)
    cif_path = out_dir / f"{gene}_WT_alphafolddb.cif"
    cif_path.write_bytes(cif_resp.content)
    plddt = data.get("confidenceScore", 0)
    print(f"✅ {gene} WT descargado de AlphaFold DB. pLDDT global: {plddt}")
    return str(cif_path)
# Uso: UnIProt IDs ya disponibles en fetch_fasta.py del pipeline
GENE_UNIPROT = {"PIK3CA": "P42336", "TP53": "P04637", "ERBB2": "P04626",
                "BRCA1": "P38398", "BRCA2": "P51587", "CDH1": "P12830",
                "GATA3": "P23771", "MAP3K1": "Q13233", "PTEN": "P60484",
                "KMT2C": "Q8NEZ4", "RB1": "P06400", "ARID1A": "O14497",
                "SF3B1": "O75533", "AKT1": "P31749", "CBFB": "Q13951"}
out_dir = Path("data/structures/alphafolddb")
out_dir.mkdir(parents=True, exist_ok=True)
manifest_wt = {}
for gene, uid in GENE_UNIPROT.items():
    path = fetch_wt_from_alphafolddb(uid, gene, out_dir)
    manifest_wt[f"{gene}_WT"] = path  # None si no está en DB
</t>
  </si>
  <si>
    <t>PASO 2 — Generar JSON batch para AF3 self-hosted (mutadas)</t>
  </si>
  <si>
    <t xml:space="preserve">import json
from pathlib import Path
def load_top_variants(path="data/top_variants.json"):
    return json.loads(Path(path).read_text())
def generate_af3_json(gene: str, mutation: str, fasta_seq: str, out_dir: Path) -&gt; Path:
    """Genera JSON AF3 para una variante mutada."""
    name = f"{gene}_{mutation}"
    payload = {
        "name": name,
        "sequences": [{"protein": {"id": ["A"], "sequence": fasta_seq}}],
        "modelSeeds": [1, 2, 3],   # 3 seeds para mayor precisión
        "dialect": "alphafold3",
        "version": 1
    }
    json_path = out_dir / f"{name}_af3_input.json"
    json_path.write_text(json.dumps(payload, indent=2))
    return json_path
# Cargar FASTA mutados generados por fetch_fasta.py
variants = load_top_variants()
json_dir = Path("data/alphafold3_inputs")
json_dir.mkdir(parents=True, exist_ok=True)
for v in variants[:20]:  # Top-20 variantes
    gene = v["hugo_symbol"]
    mutation = v["protein_change"]
    # Leer FASTA mutado generado por fetch_fasta.py
    fasta_path = Path(f"data/fasta/{gene}_{mutation}.fasta")
    if fasta_path.exists():
        seq = "".join(fasta_path.read_text().split("\n")[1:])  # sin header
        generate_af3_json(gene, mutation, seq, json_dir)
        print(f"✅ JSON generado: {gene}_{mutation}")
</t>
  </si>
  <si>
    <t>PASO 3 — Ejecutar AF3 self-hosted en GCP (batch automático)</t>
  </si>
  <si>
    <t xml:space="preserve">#!/bin/bash
# run_af3_batch.sh — ejecutado en VM GCP a2-highgpu-1g via SSH
# Iniciado automáticamente por Vertex AI Pipelines cuando hay nuevas variantes
INPUT_DIR="/gcs/gemamx-bronze/alphafold3/inputs"
OUTPUT_DIR="/gcs/gemamx-gold/alphafold3/mutadas"
MODEL_DIR="/mnt/af3_weights"   # Pesos AF3 en persistent disk
DB_DIR="/mnt/af3_databases"    # 1TB SSD bases de datos
# Procesar todos los JSON del directorio input
for json_file in ${INPUT_DIR}/*.json; do
    variant=$(basename $json_file _af3_input.json)
    out_path="${OUTPUT_DIR}/${variant}"
    if [ -d "$out_path" ]; then
        echo "⏭️  Cacheado: $variant"
        continue
    fi
    echo "🔬 Prediciendo: $variant"
    docker run --rm --gpus all \
        --volume ${INPUT_DIR}:/root/af_input \
        --volume ${OUTPUT_DIR}:/root/af_output \
        --volume ${MODEL_DIR}:/root/models \
        --volume ${DB_DIR}:/root/public_databases \
        alphafold3 python run_alphafold.py \
        --json_path=/root/af_input/$(basename $json_file) \
        --model_dir=/root/models \
        --output_dir=/root/af_output \
        --num_diffusion_samples=5 \
        --num_recycles=10
    echo "✅ Completado: $variant → $out_path"
done
# Actualizar manifest en GCS
python scan_af3.py --output_dir ${OUTPUT_DIR}
gsutil cp manifest_structures_af3.json gs://gemamx-gold/alphafold3/manifest_structures.json
echo "📋 Manifest actualizado"
</t>
  </si>
  <si>
    <t>PASO 4 — Actualizar manifest y metadata en Delta Lake</t>
  </si>
  <si>
    <t xml:space="preserve">import glob, json
from pathlib import Path
from pyspark.sql import SparkSession
from delta import DeltaTable
def scan_af3_outputs(output_dir: str) -&gt; dict:
    """Escanea outputs AF3 y actualiza manifest_structures.json."""
    manifest = {}
    for cif_path in glob.glob(f"{output_dir}/**/model.cif", recursive=True):
        # Extraer variante del path: .../PIK3CA_H1047R/seed-1_sample-0/model.cif
        parts = Path(cif_path).parts
        variant = [p for p in parts if "_" in p and any(c.isupper() for c in p)][0]
        # Leer pLDDT del JSON de confianza
        conf_glob = str(Path(cif_path).parent / "confidence_*.json")
        conf_files = glob.glob(conf_glob)
        plddt = 0.0
        if conf_files:
            conf = json.loads(Path(conf_files[0]).read_text())
            plddt = round(conf.get("complex_plddt", 0) * 100, 1)
        manifest[variant] = {"path": cif_path, "plddt": plddt, "source": "alphafold3"}
    return manifest
# Actualizar Delta Gold table con nuevas estructuras
spark = SparkSession.builder.appName("AF3Manifest").getOrCreate()
manifest = scan_af3_outputs("gs://gemamx-gold/alphafold3/mutadas")
# Escribir manifest JSON para compatibilidad con structural.js existente
Path("manifest_structures.json").write_text(json.dumps(manifest, indent=2))
# También actualizar tabla Delta Silver con métricas pLDDT
rows = [{"variant_id": k, "plddt": v["plddt"], "source": "AF3", "path_gcs": v["path"]}
        for k, v in manifest.items()]
df = spark.createDataFrame(rows)
df.write.format("delta").mode("overwrite").save("gs://gemamx-gold/delta/structures")
print(f"✅ {len(manifest)} estructuras AF3 indexadas en Delta Gold")
</t>
  </si>
  <si>
    <t>📜  TÉRMINOS DE USO AlphaFold3 — IMPORTANTE para GEN-MAMA-MX / UNISON</t>
  </si>
  <si>
    <t>Modalidad</t>
  </si>
  <si>
    <t>Licencia</t>
  </si>
  <si>
    <t>Aplicabilidad para GEN-MAMA-MX / UNISON</t>
  </si>
  <si>
    <t>Consideraciones Importantes</t>
  </si>
  <si>
    <t>AlphaFold Server
(alphafoldserver.com)</t>
  </si>
  <si>
    <t>Uso académico NO-COMERCIAL gratuito. CC-BY-NC-SA 4.0.</t>
  </si>
  <si>
    <t>✅ APTO — UNISON es institución académica. IMSS: revisar términos si se considera prestación de servicio clínico pagado.</t>
  </si>
  <si>
    <t>⚠️  Si el pipeline GEN-MAMA-MX se monetiza o presta servicios pagados, este modo NO es válido. Usar AF3 self-hosted con pesos académicos.</t>
  </si>
  <si>
    <t>AF3 Self-Hosted
(Pesos Google)</t>
  </si>
  <si>
    <t>Solo para investigadores afiliados a organizaciones NO-comerciales. Formulario Google para solicitar pesos. Aprobación en 2-3 días hábiles.</t>
  </si>
  <si>
    <t>✅ APTO — UNISON, INMEGEN, INCan aplican. Investigadores deben solicitar individualmente o vía institución.</t>
  </si>
  <si>
    <t>⚠️  No se pueden redistribuir los pesos del modelo. No se puede usar para generar estructuras para clientes comerciales farmacéuticos.</t>
  </si>
  <si>
    <t>AlphaFold DB
(EMBL-EBI)</t>
  </si>
  <si>
    <t>CC-BY-4.0 — Uso académico Y comercial. Sin restricciones de uso.</t>
  </si>
  <si>
    <t>✅ APTO para cualquier uso — académico, clínico, comercial. Solo estructuras WT pre-calculadas.</t>
  </si>
  <si>
    <t>✅ Sin restricciones. Citar: Fleming J. et al. Journal of Molecular Biology (2025).</t>
  </si>
  <si>
    <t>AlphaFast
(RomeroLab/Modal)</t>
  </si>
  <si>
    <t>MIT License (código). Requiere pesos AF3 propios de Google (mismas restricciones que AF3 self-hosted).</t>
  </si>
  <si>
    <t>✅ APTO si ya se tienen pesos AF3 aprobados. Modal (proveedor cloud) factura por segundo.</t>
  </si>
  <si>
    <t>⚠️  Los pesos AF3 aplican las mismas restricciones de uso no-comercial.</t>
  </si>
  <si>
    <t>ColabFold / AlphaFold2</t>
  </si>
  <si>
    <t>Uso libre (Apache 2.0 código). Modelos MIT. Sin restricciones significativas.</t>
  </si>
  <si>
    <t>✅ APTO sin restricciones. AlphaFold2 completamente open. Menor precisión que AF3.</t>
  </si>
  <si>
    <t>✅ Útil como fallback. Para prototipado sin necesidad de aprobación Google.</t>
  </si>
  <si>
    <t>🔗  INTEGRACIÓN AF3 CON PIPELINE GEMAMX EXISTENTE — Cambios al Código</t>
  </si>
  <si>
    <t>generate_structures.py</t>
  </si>
  <si>
    <t>ACTUAL: Usa ESMFold API (HTTP) + Boltz-1 (Colab T4).
NUEVO: Paso 0 → consultar AlphaFold DB. Si existe → usar. Si no → llamar AF3 self-hosted via SSH o AlphaFast Modal.
Función fetch_wt_from_alphafolddb() ya diseñada arriba.</t>
  </si>
  <si>
    <t>Modificación MEDIA — ~50 líneas adicionales</t>
  </si>
  <si>
    <t>scan_boltz.py → scan_af3.py</t>
  </si>
  <si>
    <t>ACTUAL: Escanea boltz_results_*/ para CIF + confidence JSON.
NUEVO: scan_af3.py escanea estructura AF3 diferente:
  af3_output/{variante}/seed-1_sample-0/model.cif
  af3_output/{variante}/seed-1_sample-0/confidences.json → complex_plddt
manifest_structures.json compatible — misma estructura.</t>
  </si>
  <si>
    <t>Modificación BAJA — ~30 líneas</t>
  </si>
  <si>
    <t>structural.js (App Web)</t>
  </si>
  <si>
    <t>SIN CAMBIOS — PDBe Molstar ya soporta mmCIF de AF3.
Los CIF de AF3 son mmCIF estándar, idénticos en estructura a Boltz-1.
manifest_structures.json formato idéntico → carga automática.</t>
  </si>
  <si>
    <t>Sin cambios necesarios</t>
  </si>
  <si>
    <t>Vertex AI Pipeline
(nuevo componente)</t>
  </si>
  <si>
    <t>Agregar componente KFP: 'AF3_Batch_Predictor'
Trigger: cuando nuevas variantes llegan a Silver Delta table
Steps: start GCP VM → copy JSONs → run docker AF3 → copy CIF a GCS → scan_af3.py → update manifest
Stop VM al terminar (ahorro costo).</t>
  </si>
  <si>
    <t>Desarrollo NUEVO — ~4 horas bioinformático</t>
  </si>
  <si>
    <t>Databricks ML Pipeline
(registro modelos)</t>
  </si>
  <si>
    <t>AF3 produce pLDDT por residuo (columna BISO en CIF).
Nuevo feature para clasificador VUS: pLDDT_AF3 vs pLDDT_Boltz2.
MLflow tracking: registrar fuente de estructura (AF3/Boltz/ESMFold).
Delta Gold: campo 'structure_source' = 'alphafolddb' | 'af3_selfhosted' | 'boltz2'</t>
  </si>
  <si>
    <t>Modificación BAJA — ~20 líneas</t>
  </si>
  <si>
    <t>GEN-MAMA-MX — Supuestos, Benchmarks y Referencias de Precios</t>
  </si>
  <si>
    <t>Parámetro</t>
  </si>
  <si>
    <t>Valor / Descripción</t>
  </si>
  <si>
    <t>Fuente</t>
  </si>
  <si>
    <t>── ESCALA DEL PROYECTO</t>
  </si>
  <si>
    <t>Casos NGS Año 1</t>
  </si>
  <si>
    <t>9,000 (30% de 30K meta anual)</t>
  </si>
  <si>
    <t>GEN-MAMA-MX Propuesta</t>
  </si>
  <si>
    <t>Ramp gradual por integración centros</t>
  </si>
  <si>
    <t>Casos NGS Año 2</t>
  </si>
  <si>
    <t>19,500 (65% de 30K)</t>
  </si>
  <si>
    <t>12 centros activos IMSS/ISSSTE/privados</t>
  </si>
  <si>
    <t>Casos NGS Año 3</t>
  </si>
  <si>
    <t>30,000 (100% meta anual)</t>
  </si>
  <si>
    <t>Plena capacidad. 20+ centros en MX+LATAM</t>
  </si>
  <si>
    <t>Genes analizados por muestra</t>
  </si>
  <si>
    <t>15 genes (Tier 1+2+3)</t>
  </si>
  <si>
    <t>Arquitectura Pipeline Doc v1.0</t>
  </si>
  <si>
    <t>PIK3CA, TP53, ERBB2, BRCA1/2, CDH1, GATA3...</t>
  </si>
  <si>
    <t>Fármacos evaluados por variante</t>
  </si>
  <si>
    <t>11 (catálogo base) → 50+ (producción)</t>
  </si>
  <si>
    <t>ChEMBL API</t>
  </si>
  <si>
    <t>FDA aprobados + ensayos clínicos</t>
  </si>
  <si>
    <t>Usuarios totales</t>
  </si>
  <si>
    <t>150 investigadores + 15 admin + 10 devs</t>
  </si>
  <si>
    <t>5 por centro + investigadores LATAM</t>
  </si>
  <si>
    <t>── PRECIOS GCP (us-central1, 2025)</t>
  </si>
  <si>
    <t>GPU T4 on-demand</t>
  </si>
  <si>
    <t>$1.40/hr (n1-standard-8 + T4)</t>
  </si>
  <si>
    <t>GCP Pricing 2025</t>
  </si>
  <si>
    <t>Boltz-2: ~20 min/predicción = $0.47/sim</t>
  </si>
  <si>
    <t>GPU T4 preemptible</t>
  </si>
  <si>
    <t>$0.35/hr</t>
  </si>
  <si>
    <t>75% descuento. Para lotes docking no urgentes</t>
  </si>
  <si>
    <t>CPU e2-standard-8</t>
  </si>
  <si>
    <t>$0.27/hr</t>
  </si>
  <si>
    <t>Pipelines bioinformáticos generales</t>
  </si>
  <si>
    <t>n2-highcpu-32</t>
  </si>
  <si>
    <t>$0.94/hr</t>
  </si>
  <si>
    <t>NGS alignment GATK/BWA. Ref Franzoso 2025</t>
  </si>
  <si>
    <t>GCS Standard</t>
  </si>
  <si>
    <t>$0.020/GB/mes</t>
  </si>
  <si>
    <t>Bronze Gold layer. FASTQ, CIF, PDBQT</t>
  </si>
  <si>
    <t>GCS Nearline</t>
  </si>
  <si>
    <t>$0.010/GB/mes</t>
  </si>
  <si>
    <t>Silver layer. Acceso mensual</t>
  </si>
  <si>
    <t>GCS Archive</t>
  </si>
  <si>
    <t>$0.0012/GB/mes</t>
  </si>
  <si>
    <t>Backups largo plazo. Recuperación $0.05/GB</t>
  </si>
  <si>
    <t>BigQuery Storage</t>
  </si>
  <si>
    <t>Active storage. First 10GB/mes gratis</t>
  </si>
  <si>
    <t>BigQuery Queries</t>
  </si>
  <si>
    <t>$5.00/TB procesado</t>
  </si>
  <si>
    <t>First 1TB/mes gratis</t>
  </si>
  <si>
    <t>── BENCHMARKS CIENTÍFICOS</t>
  </si>
  <si>
    <t>WES por muestra (Illumina NovaSeq X)</t>
  </si>
  <si>
    <t>~$300 USD total (seq + análisis)</t>
  </si>
  <si>
    <t>INMEGEN MX; Franzoso 2025</t>
  </si>
  <si>
    <t>No incluido en cloud — costo laboratorio separado</t>
  </si>
  <si>
    <t>Boltz-1/2 por simulación</t>
  </si>
  <si>
    <t>$0.10 en Fovus HPC; $0.47 en GCP T4</t>
  </si>
  <si>
    <t>Fovus 2025; cálculo propio</t>
  </si>
  <si>
    <t>20 min × $1.40/hr = $0.47. A80 GPU más rápido</t>
  </si>
  <si>
    <t>Vina GPU docking</t>
  </si>
  <si>
    <t>$0.95/10,000 dockings</t>
  </si>
  <si>
    <t>Fovus 2025</t>
  </si>
  <si>
    <t>30K casos × 15 genes × 11 fármacos = 4.95M dockings/año → $470/año</t>
  </si>
  <si>
    <t>Boltz-2 vs FEP</t>
  </si>
  <si>
    <t>$0.0001 vs $100 por predicción</t>
  </si>
  <si>
    <t>Recursion/MIT 2025</t>
  </si>
  <si>
    <t>Boltz-2 1,000× más rápido que FEP physics-based</t>
  </si>
  <si>
    <t>GATK WES pipeline CPU</t>
  </si>
  <si>
    <t>2.5 CPU-hrs/muestra</t>
  </si>
  <si>
    <t>Franzoso 2025; benchmarks CGC</t>
  </si>
  <si>
    <t>n2-highcpu-32 @ $0.94/hr = $2.35/muestra</t>
  </si>
  <si>
    <t>Pipeline NGS completo (alineación+variantes)</t>
  </si>
  <si>
    <t>$50/muestra promedio (CGC platform)</t>
  </si>
  <si>
    <t>Cancer Genomics Cloud docs</t>
  </si>
  <si>
    <t>Buffer +30% recomendado para errores/re-runs</t>
  </si>
  <si>
    <t>── PREBCIOS DATABRICKS on GCP</t>
  </si>
  <si>
    <t>DBU Jobs Compute</t>
  </si>
  <si>
    <t>$0.15/DBU</t>
  </si>
  <si>
    <t>Databricks Pricing 2025</t>
  </si>
  <si>
    <t>ETL, procesamiento Delta tables</t>
  </si>
  <si>
    <t>DBU SQL Warehouse</t>
  </si>
  <si>
    <t>$0.22/DBU</t>
  </si>
  <si>
    <t>Consultas investigadores</t>
  </si>
  <si>
    <t>DBU All-Purpose</t>
  </si>
  <si>
    <t>$0.40/DBU</t>
  </si>
  <si>
    <t>Notebooks interactivos</t>
  </si>
  <si>
    <t>── REFERENCIAS ACADÉMICAS</t>
  </si>
  <si>
    <t>Franzoso et al. 2025</t>
  </si>
  <si>
    <t>NGS en GCP: benchmark Sentieon/Parabricks WES/WGS</t>
  </si>
  <si>
    <t>Clinical and Translational Science, Nov 2025</t>
  </si>
  <si>
    <t>Recomienda 64-96 CPUs Sentieon; GPU+48-64GB Parabricks</t>
  </si>
  <si>
    <t>Genomics Core — H. Albert Einstein Brasil</t>
  </si>
  <si>
    <t>Pipeline NGS AWS (Fargate+Batch+SPOT)</t>
  </si>
  <si>
    <t>AWS Public Sector Symposium Brasília 2024</t>
  </si>
  <si>
    <t>Genomics Core con Varstation/Varsomics. SPOT para reducir costos</t>
  </si>
  <si>
    <t>CGC Seven Bridges — NCI</t>
  </si>
  <si>
    <t>Multicloud para TCGA. $50/tarea NGS avg</t>
  </si>
  <si>
    <t>docs.cancergenomicscloud.org</t>
  </si>
  <si>
    <t>Hosts TCGA-BRCA. Buffer +30% recomendado</t>
  </si>
  <si>
    <t>Fovus HPC 2025</t>
  </si>
  <si>
    <t>$0.10/Boltz-1 sim; Vina GPU $0.95/10K</t>
  </si>
  <si>
    <t>fovus.co/2025/03/03</t>
  </si>
  <si>
    <t>Referencia clave para escala 30K casos/año</t>
  </si>
  <si>
    <t>Azure Databricks Genomics — 3Cloud</t>
  </si>
  <si>
    <t>Databricks + Glow + VariantSpark para genómica</t>
  </si>
  <si>
    <t>3cloudsolutions.com 2024</t>
  </si>
  <si>
    <t>Patrón Bronze/Silver/Gold para VCF processing</t>
  </si>
  <si>
    <t>PMC GWAS en GCP (Hail)</t>
  </si>
  <si>
    <t>Scalability GWAS 500K genomas en GCP/AWS</t>
  </si>
  <si>
    <t>PMC7534581</t>
  </si>
  <si>
    <t>Hail/Spark cloud supera HPC on-premise en costo-efectividad</t>
  </si>
  <si>
    <t>── AlPHAFOLD3 DeepMind</t>
  </si>
  <si>
    <t>AlphaFold Server — cuota diaria</t>
  </si>
  <si>
    <t>30 jobs/día/cuenta (actualización Nov 2024)</t>
  </si>
  <si>
    <t>alphafoldserver.com/release-updates</t>
  </si>
  <si>
    <t>Gratis. Subió de 10→20→30. Soporta JSON batch de hasta 100 drafts.</t>
  </si>
  <si>
    <t>AlphaFold3 self-hosted GCP a2-highgpu-1g</t>
  </si>
  <si>
    <t>~$3.67/hr on-demand; ~$1.10/hr preemptible. ~8 min/predicción</t>
  </si>
  <si>
    <t>GCP GPU Pricing + GitHub deepmind/alphafold3/docs/installation.md</t>
  </si>
  <si>
    <t>Requiere A100 80GB o superior (Compute Capability 8.0+). 1TB SSD bases de datos.</t>
  </si>
  <si>
    <t>AlphaFast serverless (Modal/H200)</t>
  </si>
  <si>
    <t>$0.035/predicción. 28 seg/pred en H200. 68.5× más rápido que AF3 estándar</t>
  </si>
  <si>
    <t>Perry et al. bioRxiv Feb 2026 — RomeroLab/alphafast</t>
  </si>
  <si>
    <t>Requiere pesos AF3 de Google (mismas restricciones). Serverless vía Modal.</t>
  </si>
  <si>
    <t>AlphaFold DB (EMBL-EBI)</t>
  </si>
  <si>
    <t>GRATIS. &gt;200M estructuras. CC-BY-4.0. REST API.</t>
  </si>
  <si>
    <t>alphafold.ebi.ac.uk — Fleming J. et al. J Mol Biology 2025</t>
  </si>
  <si>
    <t>API: GET /api/prediction/{UniProt_ID}. Incluye proteoma humano completo. Solo WT.</t>
  </si>
  <si>
    <t>AF3 licencia uso</t>
  </si>
  <si>
    <t>CC-BY-NC-SA 4.0 (código). Pesos: solo académico no-comercial. Aprobación Google.</t>
  </si>
  <si>
    <t>github.com/google-deepmind/alphafold3/WEIGHTS_TERMS_OF_USE.md</t>
  </si>
  <si>
    <t>UNISON/INMEGEN aplican. IMSS revisar si hay prestación de servicio pagado.</t>
  </si>
  <si>
    <t>GEN-MAMA-MX — Tipos de Pipelines Bioinformáticos Implementables</t>
  </si>
  <si>
    <t>Pipelines categorizados por fase del análisis genómico-estructural-farmacológico. Todos orquestados con Nextflow Tower + MLOps en Vertex AI + tracking MLflow en Databricks.</t>
  </si>
  <si>
    <t>Pipeline</t>
  </si>
  <si>
    <t>Herramientas</t>
  </si>
  <si>
    <t>Cómputo GCP</t>
  </si>
  <si>
    <t>Salida</t>
  </si>
  <si>
    <t>── FASE 1: INGESTA Y PREPROCESAMIENTO NGS</t>
  </si>
  <si>
    <t>P1 — WES Ingesta &amp; QC</t>
  </si>
  <si>
    <t>Descarga FASTQ desde INMEGEN/IMSS, FastQC, Trimmomatic, validación muestras</t>
  </si>
  <si>
    <t>Nextflow nf-core/sarek, FastQC, MultiQC</t>
  </si>
  <si>
    <t>n2-highcpu-32 · $0.94/hr · 2.5 hr/muestra</t>
  </si>
  <si>
    <t>FASTQ QC → Bronze GCS</t>
  </si>
  <si>
    <t>P2 — Alineación Genómica</t>
  </si>
  <si>
    <t>BWA-MEM2 alignment vs GRCh38, GATK MarkDuplicates, BQSR, métricas cobertura</t>
  </si>
  <si>
    <t>BWA-MEM2, GATK 4.4, Samtools, Picard</t>
  </si>
  <si>
    <t>n2-highcpu-64 · $1.88/hr · 1.5 hr/muestra</t>
  </si>
  <si>
    <t>BAM alineado → Bronze GCS</t>
  </si>
  <si>
    <t>P3 — Variant Calling</t>
  </si>
  <si>
    <t>GATK HaplotypeCaller (germinal) + Mutect2 (somático vs tejido normal), filtros PASS</t>
  </si>
  <si>
    <t>GATK 4.4, Strelka2, DKFZ/ODCF pipeline</t>
  </si>
  <si>
    <t>n2-highcpu-32 · 1 hr/muestra</t>
  </si>
  <si>
    <t>VCF somático filtrado → Bronze GCS</t>
  </si>
  <si>
    <t>── FASE 2: ANOTACIÓN Y PRIORIZACIÓN</t>
  </si>
  <si>
    <t>P4 — Anotación Funcional</t>
  </si>
  <si>
    <t>Annovar/VEP: impacto funcional, ClinVar, OncoKB, COSMIC, gnomAD frecuencias</t>
  </si>
  <si>
    <t>GATK FUNCOTATOR, VEP, Annovar, snpEff</t>
  </si>
  <si>
    <t>e2-standard-8 · 0.5 hr/muestra</t>
  </si>
  <si>
    <t>VCF anotado → Silver Delta Lake</t>
  </si>
  <si>
    <t>P5 — Priorización Variantes</t>
  </si>
  <si>
    <t>Filtro genes Tier 1/2/3, ranking por frecuencia cohorte, clasificación VUS/Patogénica, integración top_variants.json</t>
  </si>
  <si>
    <t>Python/Pandas, Spark/Glow, cBioPortal API</t>
  </si>
  <si>
    <t>Databricks Jobs · 0.5 DBU/muestra</t>
  </si>
  <si>
    <t>top_variants.json → Silver/Gold Delta</t>
  </si>
  <si>
    <t>── FASE 3: PREDICCIÓN ESTRUCTURAL IA</t>
  </si>
  <si>
    <t>P6 — Predicción Estructural WT</t>
  </si>
  <si>
    <t>AlphaFold3 Server (gratuito, 20 jobs/día académico) para proteínas WT, caché local en GCS para evitar re-cómputo</t>
  </si>
  <si>
    <t>AlphaFold 3, ColabFold batch</t>
  </si>
  <si>
    <t>A100 GPU · $3.67/hr · 30 min/proteína</t>
  </si>
  <si>
    <t>PDB/CIF WT → Gold GCS</t>
  </si>
  <si>
    <t>P7 — Predicción Estructural Mutada</t>
  </si>
  <si>
    <t>Boltz-2 (MIT License, sin límite jobs) para cada variante missense priorizada, extracción fragmento 360aa centrado en mutación</t>
  </si>
  <si>
    <t>Boltz-2, ESMFold API (backup &lt;390aa)</t>
  </si>
  <si>
    <t>T4 GPU · $1.40/hr · 20 min/sim = $0.47/sim</t>
  </si>
  <si>
    <t>CIF mutado · pLDDT JSON → Gold GCS</t>
  </si>
  <si>
    <t>P8 — Análisis Conformacional</t>
  </si>
  <si>
    <t>RMSD global y en sitio activo (WT vs Mutada), superposición estructural, identificación binding pockets con fpocket</t>
  </si>
  <si>
    <t>BioPython RMSD, fpocket 3.0, PyMOL CLI</t>
  </si>
  <si>
    <t>e2-standard-4 · 0.1 hr/variante</t>
  </si>
  <si>
    <t>structural_metrics.json → Gold Delta</t>
  </si>
  <si>
    <t>── FASE 4: DOCKING MOLECULAR</t>
  </si>
  <si>
    <t>P9 — Preparación Ligandos</t>
  </si>
  <si>
    <t>Descarga SDF ChEMBL, conversión SDF→PDBQT 3D, generación coordenadas 3D ETKDG, optimización MMFF, tipos AD4 con Meeko</t>
  </si>
  <si>
    <t>RDKit, Meeko, OpenBabel 3.1.1, ChEMBL API</t>
  </si>
  <si>
    <t>e2-standard-4 · CPU solo</t>
  </si>
  <si>
    <t>PDBQT ligandos → GCS prep/</t>
  </si>
  <si>
    <t>P10 — Docking Molecular (AutoDock Vina)</t>
  </si>
  <si>
    <t>Batch docking: 15 variantes × 11 fármacos por muestra, caja 25Å centrada en residuo mutado, exhaustividad 8, 5 poses</t>
  </si>
  <si>
    <t>AutoDock Vina 1.2.3, Vina GPU (batch)</t>
  </si>
  <si>
    <t>GPU T4 preemptible · $0.35/hr · Vina GPU $0.95/10K</t>
  </si>
  <si>
    <t>vina_affinities.json → Gold Delta</t>
  </si>
  <si>
    <t>P11 — DiffDock (Top variantes)</t>
  </si>
  <si>
    <t>DiffDock deep learning docking para top 3 variantes por RMSD · Validación cruzada con Vina · Mayor precisión en candidatos repositionables</t>
  </si>
  <si>
    <t>DiffDock 1.1, PyTorch</t>
  </si>
  <si>
    <t>A100 GPU · $3.67/hr · 2 hr/variante</t>
  </si>
  <si>
    <t>Poses DiffDock + scores → Gold</t>
  </si>
  <si>
    <t>── FASE 5: ML / INFERENCIA</t>
  </si>
  <si>
    <t>P12 — Clasificación VUS → Patogénica</t>
  </si>
  <si>
    <t>Modelo ML (XGBoost/RF) entrenado en cohorte TCGA-BRCA para reclasificar VUS · Features: RMSD, pLDDT, Vina score, frecuencia cohorte, gnomAD</t>
  </si>
  <si>
    <t>Databricks MLflow, XGBoost, SHAP explainability</t>
  </si>
  <si>
    <t>Databricks Jobs · All-Purpose cluster</t>
  </si>
  <si>
    <t>Clasificación VUS → Gold · Modelo versioned</t>
  </si>
  <si>
    <t>P13 — Recomendación Farmacológica</t>
  </si>
  <si>
    <t>Pipeline RAG+LLM: contexto variante + docking scores → recomendación clínica · Gemini 1.5 Pro con RAG sobre OncoKB/ClinVar/FDA labels</t>
  </si>
  <si>
    <t>Gemini 1.5 Pro API, Vertex AI Vector Search, LangChain</t>
  </si>
  <si>
    <t>Vertex AI · $0.0125/1K tokens</t>
  </si>
  <si>
    <t>Reporte clínico PDF/HTML → Gold GCS</t>
  </si>
  <si>
    <t>── FASE 6: REPORTES Y DISTRIBUCIÓN</t>
  </si>
  <si>
    <t>P14 — Generación Reporte por Variante</t>
  </si>
  <si>
    <t>Auto-generación reporte integrado: perfil genómico + estructuras 3D + ranking fármacos + candidatos repositionables + síntesis diagnóstica (Jinja2/WeasyPrint)</t>
  </si>
  <si>
    <t>Jinja2, WeasyPrint, Plotly export</t>
  </si>
  <si>
    <t>Cloud Run · $0 (escala a cero)</t>
  </si>
  <si>
    <t>HTML + PDF → Gold GCS · Descarga investigadores</t>
  </si>
  <si>
    <t>P15 — Distribución Multi-canal</t>
  </si>
  <si>
    <t>APIs para intranet IMSS/ISSSTE, app móvil iOS/Android, portal investigadores LATAM · Delta Sharing para investigadores externos sin mover datos</t>
  </si>
  <si>
    <t>FastAPI microservicios GKE, Delta Sharing, GraphQL</t>
  </si>
  <si>
    <t>GKE 3 nodos e2-standard-4</t>
  </si>
  <si>
    <t>REST API + GraphQL · App móvil · Portal web</t>
  </si>
  <si>
    <t>── MLOPS — GESTIÓN DE MODELOS</t>
  </si>
  <si>
    <t>MLOps — Vertex AI Pipelines</t>
  </si>
  <si>
    <t>Kubeflow Pipelines para orquestar P6-P13 · Triggers automáticos por nuevos datos NGS · Retraining mensual con datos acumulados</t>
  </si>
  <si>
    <t>Vertex AI Pipelines, Kubeflow, Argo Workflows</t>
  </si>
  <si>
    <t>Vertex AI · $0.03/vCPU-hr</t>
  </si>
  <si>
    <t>Modelos versionados · Alertas drift</t>
  </si>
  <si>
    <t>MLOps — MLflow Tracking</t>
  </si>
  <si>
    <t>Tracking automático en Databricks: cada run de docking, cada predicción estructural, cada clasificación VUS · Reproducibilidad científica</t>
  </si>
  <si>
    <t>MLflow Managed (Databricks)</t>
  </si>
  <si>
    <t>Incluido en Databricks</t>
  </si>
  <si>
    <t>Experiment logs · Model registry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</si>
</sst>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3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color rgb="FFFFFFFF"/>
      <name val="Arial"/>
    </font>
    <font>
      <sz val="9"/>
      <color rgb="FF555555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8"/>
      <color rgb="FFFFFFFF"/>
      <name val="Arial"/>
    </font>
    <font>
      <sz val="9"/>
      <color rgb="FF1A1A2E"/>
      <name val="Arial"/>
    </font>
    <font>
      <b/>
      <sz val="10"/>
      <color rgb="FF000000"/>
      <name val="Arial"/>
    </font>
    <font>
      <sz val="9"/>
      <color rgb="FF444444"/>
      <name val="Arial"/>
    </font>
    <font>
      <sz val="10"/>
      <color rgb="FF000080"/>
      <name val="Arial"/>
    </font>
    <font>
      <sz val="10"/>
      <color rgb="FF555555"/>
      <name val="Arial"/>
    </font>
    <font>
      <b/>
      <sz val="11"/>
      <color rgb="FFFFFFFF"/>
      <name val="Arial"/>
    </font>
    <font>
      <b/>
      <sz val="9"/>
      <color rgb="FF1B3A6B"/>
      <name val="Arial"/>
    </font>
    <font>
      <sz val="9"/>
      <color rgb="FF000000"/>
      <name val="Arial"/>
    </font>
    <font>
      <b/>
      <sz val="13"/>
      <color rgb="FFFFFFFF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sz val="10"/>
      <color rgb="FF1A1A2E"/>
      <name val="Arial"/>
    </font>
    <font>
      <sz val="8"/>
      <color rgb="FF0D6EFD"/>
      <name val="Arial"/>
    </font>
    <font>
      <sz val="8"/>
      <color rgb="FF1A1A2E"/>
      <name val="Arial"/>
    </font>
    <font>
      <b/>
      <sz val="9"/>
      <color rgb="FFFFFFFF"/>
      <name val="Arial"/>
    </font>
    <font>
      <b/>
      <sz val="15"/>
      <color rgb="FFFFFFFF"/>
      <name val="Arial"/>
    </font>
    <font>
      <b/>
      <sz val="9"/>
      <color rgb="FF4285F4"/>
      <name val="Arial"/>
    </font>
    <font>
      <sz val="9"/>
      <color rgb="FF1A7A4A"/>
      <name val="Arial"/>
    </font>
    <font>
      <sz val="9"/>
      <color rgb="FF006064"/>
      <name val="Arial"/>
    </font>
    <font>
      <b/>
      <sz val="9"/>
      <color rgb="FF1A7A4A"/>
      <name val="Arial"/>
    </font>
    <font>
      <b/>
      <sz val="9"/>
      <color rgb="FFFF8F00"/>
      <name val="Arial"/>
    </font>
    <font>
      <b/>
      <sz val="9"/>
      <color rgb="FF006064"/>
      <name val="Arial"/>
    </font>
    <font>
      <i/>
      <sz val="8"/>
      <color rgb="FF1A1A2E"/>
      <name val="Arial"/>
    </font>
    <font>
      <sz val="8"/>
      <color rgb="FF000000"/>
      <name val="Arial"/>
    </font>
    <font>
      <sz val="8"/>
      <color rgb="FF1A7A4A"/>
      <name val="Arial"/>
    </font>
    <font>
      <sz val="8"/>
      <color rgb="FF8B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A3"/>
      </patternFill>
    </fill>
    <fill>
      <patternFill patternType="solid">
        <fgColor rgb="FFFFFACD"/>
      </patternFill>
    </fill>
    <fill>
      <patternFill patternType="solid">
        <fgColor rgb="FF1A7A4A"/>
      </patternFill>
    </fill>
    <fill>
      <patternFill patternType="solid">
        <fgColor rgb="FFFF6B35"/>
      </patternFill>
    </fill>
    <fill>
      <patternFill patternType="solid">
        <fgColor rgb="FF8B000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D6E4F7"/>
      </patternFill>
    </fill>
    <fill>
      <patternFill patternType="solid">
        <fgColor rgb="FF4285F4"/>
      </patternFill>
    </fill>
    <fill>
      <patternFill patternType="solid">
        <fgColor rgb="FFE0F7FA"/>
      </patternFill>
    </fill>
    <fill>
      <patternFill patternType="solid">
        <fgColor rgb="FFD4EDDA"/>
      </patternFill>
    </fill>
    <fill>
      <patternFill patternType="solid">
        <fgColor rgb="FFEA4335"/>
      </patternFill>
    </fill>
    <fill>
      <patternFill patternType="solid">
        <fgColor rgb="FFFF8F00"/>
      </patternFill>
    </fill>
    <fill>
      <patternFill patternType="solid">
        <fgColor rgb="FFFFF8E1"/>
      </patternFill>
    </fill>
    <fill>
      <patternFill patternType="solid">
        <fgColor rgb="FF006064"/>
      </patternFill>
    </fill>
    <fill>
      <patternFill patternType="solid">
        <fgColor rgb="FFF8F8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164" fontId="10" fillId="8" borderId="1" xfId="0" applyNumberFormat="1" applyFont="1" applyFill="1" applyBorder="1" applyAlignment="1">
      <alignment horizontal="right" vertical="center"/>
    </xf>
    <xf numFmtId="164" fontId="8" fillId="8" borderId="1" xfId="0" applyNumberFormat="1" applyFont="1" applyFill="1" applyBorder="1" applyAlignment="1">
      <alignment horizontal="right" vertical="center"/>
    </xf>
    <xf numFmtId="165" fontId="11" fillId="8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164" fontId="10" fillId="9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165" fontId="11" fillId="9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165" fontId="12" fillId="5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0" fontId="12" fillId="5" borderId="0" xfId="0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0" fontId="17" fillId="5" borderId="0" xfId="0" applyFont="1" applyFill="1" applyAlignment="1">
      <alignment horizontal="left" vertical="center"/>
    </xf>
    <xf numFmtId="164" fontId="15" fillId="7" borderId="0" xfId="0" applyNumberFormat="1" applyFont="1" applyFill="1" applyAlignment="1">
      <alignment horizontal="right" vertical="center"/>
    </xf>
    <xf numFmtId="0" fontId="12" fillId="7" borderId="0" xfId="0" applyFont="1" applyFill="1" applyAlignment="1">
      <alignment horizontal="right" vertical="center"/>
    </xf>
    <xf numFmtId="164" fontId="18" fillId="7" borderId="0" xfId="0" applyNumberFormat="1" applyFont="1" applyFill="1" applyAlignment="1">
      <alignment horizontal="right" vertical="center"/>
    </xf>
    <xf numFmtId="0" fontId="19" fillId="7" borderId="0" xfId="0" applyFont="1" applyFill="1" applyAlignment="1">
      <alignment horizontal="left" vertical="center" wrapText="1"/>
    </xf>
    <xf numFmtId="164" fontId="0" fillId="0" borderId="0" xfId="0" applyNumberFormat="1"/>
    <xf numFmtId="0" fontId="1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0" fontId="21" fillId="9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22" fillId="9" borderId="0" xfId="0" applyFont="1" applyFill="1" applyAlignment="1">
      <alignment horizontal="left" vertical="center" wrapText="1"/>
    </xf>
    <xf numFmtId="0" fontId="23" fillId="9" borderId="0" xfId="0" applyFont="1" applyFill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7" fillId="1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left" vertical="center" wrapText="1"/>
    </xf>
    <xf numFmtId="0" fontId="23" fillId="16" borderId="1" xfId="0" applyFont="1" applyFill="1" applyBorder="1" applyAlignment="1">
      <alignment horizontal="left" vertical="center" wrapText="1"/>
    </xf>
    <xf numFmtId="0" fontId="30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horizontal="left" vertical="center" wrapText="1"/>
    </xf>
    <xf numFmtId="0" fontId="33" fillId="8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0" fillId="0" borderId="0" xfId="0"/>
    <xf numFmtId="0" fontId="13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2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/>
    </xf>
    <xf numFmtId="164" fontId="6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4" fillId="17" borderId="1" xfId="0" applyFont="1" applyFill="1" applyBorder="1" applyAlignment="1">
      <alignment horizontal="center" vertical="center" wrapText="1"/>
    </xf>
    <xf numFmtId="0" fontId="35" fillId="16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 wrapText="1"/>
    </xf>
    <xf numFmtId="0" fontId="32" fillId="18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workbookViewId="0">
      <pane ySplit="11" topLeftCell="A13" activePane="bottomLeft" state="frozen"/>
      <selection pane="bottomLeft" activeCell="I6" sqref="I6"/>
    </sheetView>
  </sheetViews>
  <sheetFormatPr baseColWidth="10" defaultColWidth="9.140625" defaultRowHeight="15" x14ac:dyDescent="0.25"/>
  <cols>
    <col min="1" max="1" width="30" customWidth="1"/>
    <col min="2" max="2" width="39" customWidth="1"/>
    <col min="3" max="4" width="18" customWidth="1"/>
    <col min="5" max="5" width="26.42578125" customWidth="1"/>
    <col min="6" max="6" width="18" customWidth="1"/>
    <col min="7" max="7" width="20" customWidth="1"/>
  </cols>
  <sheetData>
    <row r="1" spans="1:7" ht="39.950000000000003" customHeight="1" x14ac:dyDescent="0.25">
      <c r="A1" s="88" t="s">
        <v>0</v>
      </c>
      <c r="B1" s="78"/>
      <c r="C1" s="78"/>
      <c r="D1" s="78"/>
      <c r="E1" s="78"/>
      <c r="F1" s="78"/>
      <c r="G1" s="78"/>
    </row>
    <row r="2" spans="1:7" ht="30" customHeight="1" x14ac:dyDescent="0.25">
      <c r="A2" s="97" t="s">
        <v>1</v>
      </c>
      <c r="B2" s="78"/>
      <c r="C2" s="78"/>
      <c r="D2" s="78"/>
      <c r="E2" s="78"/>
      <c r="F2" s="78"/>
      <c r="G2" s="78"/>
    </row>
    <row r="3" spans="1:7" ht="24.95" customHeight="1" x14ac:dyDescent="0.25">
      <c r="A3" s="95" t="s">
        <v>2</v>
      </c>
      <c r="B3" s="78"/>
      <c r="C3" s="78"/>
      <c r="D3" s="78"/>
      <c r="E3" s="78"/>
      <c r="F3" s="78"/>
      <c r="G3" s="78"/>
    </row>
    <row r="5" spans="1:7" ht="21.95" customHeight="1" x14ac:dyDescent="0.25">
      <c r="A5" s="91" t="s">
        <v>3</v>
      </c>
      <c r="B5" s="92" t="s">
        <v>4</v>
      </c>
      <c r="C5" s="99" t="s">
        <v>5</v>
      </c>
      <c r="D5" s="93" t="s">
        <v>6</v>
      </c>
      <c r="E5" s="77" t="s">
        <v>7</v>
      </c>
      <c r="F5" s="98" t="s">
        <v>8</v>
      </c>
      <c r="G5" s="78"/>
    </row>
    <row r="6" spans="1:7" ht="30" customHeight="1" x14ac:dyDescent="0.25">
      <c r="A6" s="78"/>
      <c r="B6" s="78"/>
      <c r="C6" s="78"/>
      <c r="D6" s="78"/>
      <c r="E6" s="78"/>
      <c r="F6" s="78"/>
      <c r="G6" s="78"/>
    </row>
    <row r="7" spans="1:7" ht="30" customHeight="1" x14ac:dyDescent="0.25">
      <c r="A7" s="78"/>
      <c r="B7" s="96">
        <f>Año1!C200</f>
        <v>492624</v>
      </c>
      <c r="C7" s="89">
        <f>Año2!C200</f>
        <v>630708</v>
      </c>
      <c r="D7" s="87">
        <f>Año3!C200</f>
        <v>783480</v>
      </c>
      <c r="E7" s="90">
        <f>B7+C7+D7</f>
        <v>1906812</v>
      </c>
      <c r="F7" s="78"/>
      <c r="G7" s="78"/>
    </row>
    <row r="8" spans="1:7" ht="21.95" customHeight="1" x14ac:dyDescent="0.25">
      <c r="A8" s="78"/>
      <c r="B8" s="78"/>
      <c r="C8" s="78"/>
      <c r="D8" s="78"/>
      <c r="E8" s="78"/>
      <c r="F8" s="78"/>
      <c r="G8" s="78"/>
    </row>
    <row r="10" spans="1:7" ht="21.95" customHeight="1" x14ac:dyDescent="0.25">
      <c r="A10" s="84" t="s">
        <v>9</v>
      </c>
      <c r="B10" s="78"/>
      <c r="C10" s="78"/>
      <c r="D10" s="78"/>
      <c r="E10" s="78"/>
      <c r="F10" s="78"/>
      <c r="G10" s="78"/>
    </row>
    <row r="11" spans="1:7" ht="20.100000000000001" customHeight="1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16</v>
      </c>
    </row>
    <row r="12" spans="1:7" ht="30.75" customHeight="1" x14ac:dyDescent="0.25">
      <c r="A12" s="2" t="s">
        <v>17</v>
      </c>
      <c r="B12" s="3" t="s">
        <v>18</v>
      </c>
      <c r="C12" s="4">
        <f>Año1!C50</f>
        <v>45</v>
      </c>
      <c r="D12" s="4">
        <f>Año2!C50</f>
        <v>98</v>
      </c>
      <c r="E12" s="4">
        <f>Año3!C50</f>
        <v>150</v>
      </c>
      <c r="F12" s="5">
        <f t="shared" ref="F12:F25" si="0">C12+D12+E12</f>
        <v>293</v>
      </c>
      <c r="G12" s="6">
        <f>F12/F25</f>
        <v>2.0960011445740039E-2</v>
      </c>
    </row>
    <row r="13" spans="1:7" ht="27.75" customHeight="1" x14ac:dyDescent="0.25">
      <c r="A13" s="7" t="s">
        <v>19</v>
      </c>
      <c r="B13" s="8" t="s">
        <v>20</v>
      </c>
      <c r="C13" s="9">
        <f>Año1!C60</f>
        <v>625</v>
      </c>
      <c r="D13" s="9">
        <f>Año2!C60</f>
        <v>625</v>
      </c>
      <c r="E13" s="9">
        <f>Año3!C60</f>
        <v>625</v>
      </c>
      <c r="F13" s="10">
        <f t="shared" si="0"/>
        <v>1875</v>
      </c>
      <c r="G13" s="11">
        <f>F13/F25</f>
        <v>0.13412976607768795</v>
      </c>
    </row>
    <row r="14" spans="1:7" ht="18" customHeight="1" x14ac:dyDescent="0.25">
      <c r="A14" s="2" t="s">
        <v>21</v>
      </c>
      <c r="B14" s="3" t="s">
        <v>22</v>
      </c>
      <c r="C14" s="4">
        <f>Año1!C70</f>
        <v>1800</v>
      </c>
      <c r="D14" s="4">
        <f>Año2!C70</f>
        <v>3900</v>
      </c>
      <c r="E14" s="4">
        <f>Año3!C70</f>
        <v>6000</v>
      </c>
      <c r="F14" s="5">
        <f t="shared" si="0"/>
        <v>11700</v>
      </c>
      <c r="G14" s="6">
        <f>F14/F25</f>
        <v>0.83696974032477289</v>
      </c>
    </row>
    <row r="15" spans="1:7" ht="28.5" customHeight="1" x14ac:dyDescent="0.25">
      <c r="A15" s="7" t="s">
        <v>23</v>
      </c>
      <c r="B15" s="8" t="s">
        <v>24</v>
      </c>
      <c r="C15" s="9">
        <f>Año1!C80</f>
        <v>17</v>
      </c>
      <c r="D15" s="9">
        <f>Año2!C80</f>
        <v>37</v>
      </c>
      <c r="E15" s="9">
        <f>Año3!C80</f>
        <v>57</v>
      </c>
      <c r="F15" s="10">
        <f t="shared" si="0"/>
        <v>111</v>
      </c>
      <c r="G15" s="11">
        <f>F15/F25</f>
        <v>7.9404821517991275E-3</v>
      </c>
    </row>
    <row r="16" spans="1:7" ht="28.5" customHeight="1" x14ac:dyDescent="0.25">
      <c r="A16" s="2" t="s">
        <v>25</v>
      </c>
      <c r="B16" s="3" t="s">
        <v>26</v>
      </c>
      <c r="C16" s="4">
        <f>Año1!C90</f>
        <v>0</v>
      </c>
      <c r="D16" s="4">
        <f>Año2!C90</f>
        <v>0</v>
      </c>
      <c r="E16" s="4">
        <f>Año3!C90</f>
        <v>0</v>
      </c>
      <c r="F16" s="5">
        <f t="shared" si="0"/>
        <v>0</v>
      </c>
      <c r="G16" s="6">
        <f>F16/F25</f>
        <v>0</v>
      </c>
    </row>
    <row r="17" spans="1:7" ht="30" customHeight="1" x14ac:dyDescent="0.25">
      <c r="A17" s="7" t="s">
        <v>27</v>
      </c>
      <c r="B17" s="8" t="s">
        <v>28</v>
      </c>
      <c r="C17" s="9">
        <f>Año1!C100</f>
        <v>0</v>
      </c>
      <c r="D17" s="9">
        <f>Año2!C100</f>
        <v>0</v>
      </c>
      <c r="E17" s="9">
        <f>Año3!C100</f>
        <v>0</v>
      </c>
      <c r="F17" s="10">
        <f t="shared" si="0"/>
        <v>0</v>
      </c>
      <c r="G17" s="11">
        <f>F17/F25</f>
        <v>0</v>
      </c>
    </row>
    <row r="18" spans="1:7" ht="25.5" customHeight="1" x14ac:dyDescent="0.25">
      <c r="A18" s="2" t="s">
        <v>29</v>
      </c>
      <c r="B18" s="3" t="s">
        <v>30</v>
      </c>
      <c r="C18" s="4">
        <f>Año1!C110</f>
        <v>0</v>
      </c>
      <c r="D18" s="4">
        <f>Año2!C110</f>
        <v>0</v>
      </c>
      <c r="E18" s="4">
        <f>Año3!C110</f>
        <v>0</v>
      </c>
      <c r="F18" s="5">
        <f t="shared" si="0"/>
        <v>0</v>
      </c>
      <c r="G18" s="6">
        <f>F18/F25</f>
        <v>0</v>
      </c>
    </row>
    <row r="19" spans="1:7" ht="18" customHeight="1" x14ac:dyDescent="0.25">
      <c r="A19" s="7" t="s">
        <v>31</v>
      </c>
      <c r="B19" s="8" t="s">
        <v>32</v>
      </c>
      <c r="C19" s="9">
        <f>Año1!C120</f>
        <v>0</v>
      </c>
      <c r="D19" s="9">
        <f>Año2!C120</f>
        <v>0</v>
      </c>
      <c r="E19" s="9">
        <f>Año3!C120</f>
        <v>0</v>
      </c>
      <c r="F19" s="10">
        <f t="shared" si="0"/>
        <v>0</v>
      </c>
      <c r="G19" s="11">
        <f>F19/F25</f>
        <v>0</v>
      </c>
    </row>
    <row r="20" spans="1:7" ht="18" customHeight="1" x14ac:dyDescent="0.25">
      <c r="A20" s="2" t="s">
        <v>33</v>
      </c>
      <c r="B20" s="3" t="s">
        <v>34</v>
      </c>
      <c r="C20" s="4">
        <f>Año1!C130</f>
        <v>0</v>
      </c>
      <c r="D20" s="4">
        <f>Año2!C130</f>
        <v>0</v>
      </c>
      <c r="E20" s="4">
        <f>Año3!C130</f>
        <v>0</v>
      </c>
      <c r="F20" s="5">
        <f t="shared" si="0"/>
        <v>0</v>
      </c>
      <c r="G20" s="6">
        <f>F20/F25</f>
        <v>0</v>
      </c>
    </row>
    <row r="21" spans="1:7" ht="27" customHeight="1" x14ac:dyDescent="0.25">
      <c r="A21" s="7" t="s">
        <v>35</v>
      </c>
      <c r="B21" s="8" t="s">
        <v>36</v>
      </c>
      <c r="C21" s="9">
        <f>Año1!C140</f>
        <v>0</v>
      </c>
      <c r="D21" s="9">
        <f>Año2!C140</f>
        <v>0</v>
      </c>
      <c r="E21" s="9">
        <f>Año3!C140</f>
        <v>0</v>
      </c>
      <c r="F21" s="10">
        <f t="shared" si="0"/>
        <v>0</v>
      </c>
      <c r="G21" s="11">
        <f>F21/F25</f>
        <v>0</v>
      </c>
    </row>
    <row r="22" spans="1:7" ht="28.5" customHeight="1" x14ac:dyDescent="0.25">
      <c r="A22" s="2" t="s">
        <v>37</v>
      </c>
      <c r="B22" s="3" t="s">
        <v>38</v>
      </c>
      <c r="C22" s="4">
        <f>Año1!C150</f>
        <v>0</v>
      </c>
      <c r="D22" s="4">
        <f>Año2!C150</f>
        <v>0</v>
      </c>
      <c r="E22" s="4">
        <f>Año3!C150</f>
        <v>0</v>
      </c>
      <c r="F22" s="5">
        <f t="shared" si="0"/>
        <v>0</v>
      </c>
      <c r="G22" s="6">
        <f>F22/F25</f>
        <v>0</v>
      </c>
    </row>
    <row r="23" spans="1:7" ht="33" customHeight="1" x14ac:dyDescent="0.25">
      <c r="A23" s="7" t="s">
        <v>39</v>
      </c>
      <c r="B23" s="8" t="s">
        <v>40</v>
      </c>
      <c r="C23" s="9">
        <f>Año1!C160</f>
        <v>0</v>
      </c>
      <c r="D23" s="9">
        <f>Año2!C160</f>
        <v>0</v>
      </c>
      <c r="E23" s="9">
        <f>Año3!C160</f>
        <v>0</v>
      </c>
      <c r="F23" s="10">
        <f t="shared" si="0"/>
        <v>0</v>
      </c>
      <c r="G23" s="11">
        <f>F23/F25</f>
        <v>0</v>
      </c>
    </row>
    <row r="24" spans="1:7" ht="34.5" customHeight="1" x14ac:dyDescent="0.25">
      <c r="A24" s="2" t="s">
        <v>41</v>
      </c>
      <c r="B24" s="3" t="s">
        <v>42</v>
      </c>
      <c r="C24" s="4">
        <f>Año1!C170</f>
        <v>0</v>
      </c>
      <c r="D24" s="4">
        <f>Año2!C170</f>
        <v>0</v>
      </c>
      <c r="E24" s="4">
        <f>Año3!C170</f>
        <v>0</v>
      </c>
      <c r="F24" s="5">
        <f t="shared" si="0"/>
        <v>0</v>
      </c>
      <c r="G24" s="6">
        <f>F24/F25</f>
        <v>0</v>
      </c>
    </row>
    <row r="25" spans="1:7" ht="21.95" customHeight="1" x14ac:dyDescent="0.25">
      <c r="A25" s="86" t="s">
        <v>43</v>
      </c>
      <c r="B25" s="83"/>
      <c r="C25" s="12">
        <f>SUM(C12:C24)</f>
        <v>2487</v>
      </c>
      <c r="D25" s="12">
        <f>SUM(D12:D24)</f>
        <v>4660</v>
      </c>
      <c r="E25" s="12">
        <f>SUM(E12:E24)</f>
        <v>6832</v>
      </c>
      <c r="F25" s="12">
        <f t="shared" si="0"/>
        <v>13979</v>
      </c>
      <c r="G25" s="13" t="s">
        <v>44</v>
      </c>
    </row>
    <row r="27" spans="1:7" ht="21.95" customHeight="1" x14ac:dyDescent="0.25">
      <c r="A27" s="94" t="s">
        <v>45</v>
      </c>
      <c r="B27" s="82"/>
      <c r="C27" s="82"/>
      <c r="D27" s="82"/>
      <c r="E27" s="82"/>
      <c r="F27" s="82"/>
      <c r="G27" s="83"/>
    </row>
    <row r="28" spans="1:7" ht="32.1" customHeight="1" x14ac:dyDescent="0.25">
      <c r="A28" s="80" t="s">
        <v>46</v>
      </c>
      <c r="B28" s="85" t="s">
        <v>47</v>
      </c>
      <c r="C28" s="82"/>
      <c r="D28" s="82"/>
      <c r="E28" s="82"/>
      <c r="F28" s="82"/>
      <c r="G28" s="83"/>
    </row>
    <row r="29" spans="1:7" ht="32.1" customHeight="1" x14ac:dyDescent="0.25">
      <c r="A29" s="79" t="s">
        <v>48</v>
      </c>
      <c r="B29" s="81" t="s">
        <v>49</v>
      </c>
      <c r="C29" s="82"/>
      <c r="D29" s="82"/>
      <c r="E29" s="82"/>
      <c r="F29" s="82"/>
      <c r="G29" s="83"/>
    </row>
    <row r="30" spans="1:7" ht="32.1" customHeight="1" x14ac:dyDescent="0.25">
      <c r="A30" s="80" t="s">
        <v>50</v>
      </c>
      <c r="B30" s="85" t="s">
        <v>51</v>
      </c>
      <c r="C30" s="82"/>
      <c r="D30" s="82"/>
      <c r="E30" s="82"/>
      <c r="F30" s="82"/>
      <c r="G30" s="83"/>
    </row>
    <row r="31" spans="1:7" ht="32.1" customHeight="1" x14ac:dyDescent="0.25">
      <c r="A31" s="79" t="s">
        <v>52</v>
      </c>
      <c r="B31" s="81" t="s">
        <v>53</v>
      </c>
      <c r="C31" s="82"/>
      <c r="D31" s="82"/>
      <c r="E31" s="82"/>
      <c r="F31" s="82"/>
      <c r="G31" s="83"/>
    </row>
    <row r="32" spans="1:7" ht="32.1" customHeight="1" x14ac:dyDescent="0.25">
      <c r="A32" s="80" t="s">
        <v>54</v>
      </c>
      <c r="B32" s="85" t="s">
        <v>55</v>
      </c>
      <c r="C32" s="82"/>
      <c r="D32" s="82"/>
      <c r="E32" s="82"/>
      <c r="F32" s="82"/>
      <c r="G32" s="83"/>
    </row>
    <row r="33" spans="1:7" ht="32.1" customHeight="1" x14ac:dyDescent="0.25">
      <c r="A33" s="79" t="s">
        <v>56</v>
      </c>
      <c r="B33" s="81" t="s">
        <v>57</v>
      </c>
      <c r="C33" s="82"/>
      <c r="D33" s="82"/>
      <c r="E33" s="82"/>
      <c r="F33" s="82"/>
      <c r="G33" s="83"/>
    </row>
  </sheetData>
  <mergeCells count="28">
    <mergeCell ref="B33:G33"/>
    <mergeCell ref="A1:G1"/>
    <mergeCell ref="C7:C8"/>
    <mergeCell ref="B32:G32"/>
    <mergeCell ref="E7:E8"/>
    <mergeCell ref="A5:A8"/>
    <mergeCell ref="B5:B6"/>
    <mergeCell ref="D5:D6"/>
    <mergeCell ref="A27:G27"/>
    <mergeCell ref="A3:G3"/>
    <mergeCell ref="B31:G31"/>
    <mergeCell ref="B7:B8"/>
    <mergeCell ref="A2:G2"/>
    <mergeCell ref="F5:G8"/>
    <mergeCell ref="A33"/>
    <mergeCell ref="C5:C6"/>
    <mergeCell ref="A31"/>
    <mergeCell ref="B28:G28"/>
    <mergeCell ref="A25:B25"/>
    <mergeCell ref="A30"/>
    <mergeCell ref="A32"/>
    <mergeCell ref="B30:G30"/>
    <mergeCell ref="E5:E6"/>
    <mergeCell ref="A29"/>
    <mergeCell ref="A28"/>
    <mergeCell ref="B29:G29"/>
    <mergeCell ref="A10:G10"/>
    <mergeCell ref="D7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9.140625" defaultRowHeight="15" x14ac:dyDescent="0.25"/>
  <cols>
    <col min="1" max="1" width="35" customWidth="1"/>
    <col min="2" max="2" width="40" customWidth="1"/>
    <col min="3" max="5" width="16" customWidth="1"/>
    <col min="6" max="6" width="22" customWidth="1"/>
  </cols>
  <sheetData>
    <row r="1" spans="1:6" ht="39.950000000000003" customHeight="1" x14ac:dyDescent="0.25">
      <c r="A1" s="104" t="s">
        <v>58</v>
      </c>
      <c r="B1" s="78"/>
      <c r="C1" s="78"/>
      <c r="D1" s="78"/>
      <c r="E1" s="78"/>
      <c r="F1" s="78"/>
    </row>
    <row r="2" spans="1:6" ht="21.95" customHeight="1" x14ac:dyDescent="0.25">
      <c r="A2" s="103" t="s">
        <v>59</v>
      </c>
      <c r="B2" s="78"/>
      <c r="C2" s="78"/>
      <c r="D2" s="78"/>
      <c r="E2" s="78"/>
      <c r="F2" s="78"/>
    </row>
    <row r="3" spans="1:6" ht="20.100000000000001" customHeight="1" x14ac:dyDescent="0.25"/>
    <row r="4" spans="1:6" ht="20.100000000000001" customHeight="1" x14ac:dyDescent="0.25">
      <c r="A4" s="16" t="s">
        <v>60</v>
      </c>
      <c r="B4" s="16" t="s">
        <v>61</v>
      </c>
      <c r="C4" s="16" t="s">
        <v>62</v>
      </c>
      <c r="D4" s="16" t="s">
        <v>63</v>
      </c>
      <c r="E4" s="16" t="s">
        <v>64</v>
      </c>
      <c r="F4" s="16" t="s">
        <v>65</v>
      </c>
    </row>
    <row r="5" spans="1:6" ht="20.100000000000001" customHeight="1" x14ac:dyDescent="0.25">
      <c r="A5" s="101" t="s">
        <v>66</v>
      </c>
      <c r="B5" s="78"/>
      <c r="C5" s="78"/>
      <c r="D5" s="78"/>
      <c r="E5" s="78"/>
      <c r="F5" s="78"/>
    </row>
    <row r="6" spans="1:6" ht="74.25" customHeight="1" x14ac:dyDescent="0.25">
      <c r="A6" s="17" t="s">
        <v>67</v>
      </c>
      <c r="B6" s="15" t="s">
        <v>68</v>
      </c>
      <c r="C6" s="18">
        <v>92</v>
      </c>
      <c r="D6" s="19">
        <v>12</v>
      </c>
      <c r="E6" s="18">
        <f>C6*D6</f>
        <v>1104</v>
      </c>
      <c r="F6" s="15" t="s">
        <v>69</v>
      </c>
    </row>
    <row r="7" spans="1:6" ht="58.5" customHeight="1" x14ac:dyDescent="0.25">
      <c r="A7" s="17" t="s">
        <v>70</v>
      </c>
      <c r="B7" s="15" t="s">
        <v>71</v>
      </c>
      <c r="C7" s="18">
        <v>8</v>
      </c>
      <c r="D7" s="19">
        <v>12</v>
      </c>
      <c r="E7" s="18">
        <f>C7*D7</f>
        <v>96</v>
      </c>
      <c r="F7" s="15" t="s">
        <v>72</v>
      </c>
    </row>
    <row r="8" spans="1:6" ht="48" customHeight="1" x14ac:dyDescent="0.25">
      <c r="A8" s="17" t="s">
        <v>73</v>
      </c>
      <c r="B8" s="15" t="s">
        <v>74</v>
      </c>
      <c r="C8" s="18">
        <v>1762</v>
      </c>
      <c r="D8" s="19">
        <v>12</v>
      </c>
      <c r="E8" s="18">
        <f>C8*D8</f>
        <v>21144</v>
      </c>
      <c r="F8" s="15" t="s">
        <v>75</v>
      </c>
    </row>
    <row r="9" spans="1:6" ht="51.75" customHeight="1" x14ac:dyDescent="0.25">
      <c r="A9" s="17" t="s">
        <v>76</v>
      </c>
      <c r="B9" s="15" t="s">
        <v>77</v>
      </c>
      <c r="C9" s="18">
        <v>389</v>
      </c>
      <c r="D9" s="19">
        <v>12</v>
      </c>
      <c r="E9" s="18">
        <f>C9*D9</f>
        <v>4668</v>
      </c>
      <c r="F9" s="15" t="s">
        <v>78</v>
      </c>
    </row>
    <row r="10" spans="1:6" ht="42.75" customHeight="1" x14ac:dyDescent="0.25">
      <c r="A10" s="17" t="s">
        <v>79</v>
      </c>
      <c r="B10" s="15" t="s">
        <v>80</v>
      </c>
      <c r="C10" s="18">
        <v>24</v>
      </c>
      <c r="D10" s="19">
        <v>12</v>
      </c>
      <c r="E10" s="18">
        <f>C10*D10</f>
        <v>288</v>
      </c>
      <c r="F10" s="15" t="s">
        <v>81</v>
      </c>
    </row>
    <row r="11" spans="1:6" ht="20.100000000000001" customHeight="1" x14ac:dyDescent="0.25">
      <c r="A11" s="100" t="s">
        <v>82</v>
      </c>
      <c r="B11" s="78"/>
      <c r="C11" s="20">
        <f>SUM(C6:C10)</f>
        <v>2275</v>
      </c>
      <c r="D11" s="21" t="s">
        <v>83</v>
      </c>
      <c r="E11" s="22">
        <f>SUM(E6:E10)</f>
        <v>27300</v>
      </c>
      <c r="F11" s="23"/>
    </row>
    <row r="12" spans="1:6" ht="20.100000000000001" customHeight="1" x14ac:dyDescent="0.25">
      <c r="A12" s="101" t="s">
        <v>84</v>
      </c>
      <c r="B12" s="78"/>
      <c r="C12" s="78"/>
      <c r="D12" s="78"/>
      <c r="E12" s="78"/>
      <c r="F12" s="78"/>
    </row>
    <row r="13" spans="1:6" ht="76.5" customHeight="1" x14ac:dyDescent="0.25">
      <c r="A13" s="17" t="s">
        <v>85</v>
      </c>
      <c r="B13" s="15" t="s">
        <v>86</v>
      </c>
      <c r="C13" s="18">
        <v>270</v>
      </c>
      <c r="D13" s="19">
        <v>12</v>
      </c>
      <c r="E13" s="18">
        <f>C13*D13</f>
        <v>3240</v>
      </c>
      <c r="F13" s="15" t="s">
        <v>87</v>
      </c>
    </row>
    <row r="14" spans="1:6" ht="54.75" customHeight="1" x14ac:dyDescent="0.25">
      <c r="A14" s="17" t="s">
        <v>88</v>
      </c>
      <c r="B14" s="15" t="s">
        <v>89</v>
      </c>
      <c r="C14" s="18">
        <v>20</v>
      </c>
      <c r="D14" s="19">
        <v>12</v>
      </c>
      <c r="E14" s="18">
        <f>C14*D14</f>
        <v>240</v>
      </c>
      <c r="F14" s="15" t="s">
        <v>90</v>
      </c>
    </row>
    <row r="15" spans="1:6" ht="70.5" customHeight="1" x14ac:dyDescent="0.25">
      <c r="A15" s="17" t="s">
        <v>91</v>
      </c>
      <c r="B15" s="15" t="s">
        <v>92</v>
      </c>
      <c r="C15" s="18">
        <v>8</v>
      </c>
      <c r="D15" s="19">
        <v>12</v>
      </c>
      <c r="E15" s="18">
        <f>C15*D15</f>
        <v>96</v>
      </c>
      <c r="F15" s="15" t="s">
        <v>93</v>
      </c>
    </row>
    <row r="16" spans="1:6" ht="68.25" customHeight="1" x14ac:dyDescent="0.25">
      <c r="A16" s="17" t="s">
        <v>94</v>
      </c>
      <c r="B16" s="15" t="s">
        <v>95</v>
      </c>
      <c r="C16" s="18">
        <v>8</v>
      </c>
      <c r="D16" s="19">
        <v>12</v>
      </c>
      <c r="E16" s="18">
        <f>C16*D16</f>
        <v>96</v>
      </c>
      <c r="F16" s="15" t="s">
        <v>96</v>
      </c>
    </row>
    <row r="17" spans="1:6" ht="53.25" customHeight="1" x14ac:dyDescent="0.25">
      <c r="A17" s="17" t="s">
        <v>97</v>
      </c>
      <c r="B17" s="15" t="s">
        <v>98</v>
      </c>
      <c r="C17" s="18">
        <v>6</v>
      </c>
      <c r="D17" s="19">
        <v>12</v>
      </c>
      <c r="E17" s="18">
        <f>C17*D17</f>
        <v>72</v>
      </c>
      <c r="F17" s="15" t="s">
        <v>99</v>
      </c>
    </row>
    <row r="18" spans="1:6" ht="20.100000000000001" customHeight="1" x14ac:dyDescent="0.25">
      <c r="A18" s="100" t="s">
        <v>100</v>
      </c>
      <c r="B18" s="78"/>
      <c r="C18" s="20">
        <f>SUM(C13:C17)</f>
        <v>312</v>
      </c>
      <c r="D18" s="21" t="s">
        <v>83</v>
      </c>
      <c r="E18" s="22">
        <f>SUM(E13:E17)</f>
        <v>3744</v>
      </c>
      <c r="F18" s="23"/>
    </row>
    <row r="19" spans="1:6" ht="20.100000000000001" customHeight="1" x14ac:dyDescent="0.25">
      <c r="A19" s="101" t="s">
        <v>101</v>
      </c>
      <c r="B19" s="78"/>
      <c r="C19" s="78"/>
      <c r="D19" s="78"/>
      <c r="E19" s="78"/>
      <c r="F19" s="78"/>
    </row>
    <row r="20" spans="1:6" ht="60" customHeight="1" x14ac:dyDescent="0.25">
      <c r="A20" s="17" t="s">
        <v>102</v>
      </c>
      <c r="B20" s="15" t="s">
        <v>103</v>
      </c>
      <c r="C20" s="18">
        <v>120</v>
      </c>
      <c r="D20" s="19">
        <v>12</v>
      </c>
      <c r="E20" s="18">
        <f>C20*D20</f>
        <v>1440</v>
      </c>
      <c r="F20" s="15" t="s">
        <v>104</v>
      </c>
    </row>
    <row r="21" spans="1:6" ht="54" customHeight="1" x14ac:dyDescent="0.25">
      <c r="A21" s="17" t="s">
        <v>105</v>
      </c>
      <c r="B21" s="15" t="s">
        <v>106</v>
      </c>
      <c r="C21" s="18">
        <v>90</v>
      </c>
      <c r="D21" s="19">
        <v>12</v>
      </c>
      <c r="E21" s="18">
        <f>C21*D21</f>
        <v>1080</v>
      </c>
      <c r="F21" s="15" t="s">
        <v>107</v>
      </c>
    </row>
    <row r="22" spans="1:6" ht="45" customHeight="1" x14ac:dyDescent="0.25">
      <c r="A22" s="17" t="s">
        <v>108</v>
      </c>
      <c r="B22" s="15" t="s">
        <v>109</v>
      </c>
      <c r="C22" s="18">
        <v>60</v>
      </c>
      <c r="D22" s="19">
        <v>12</v>
      </c>
      <c r="E22" s="18">
        <f>C22*D22</f>
        <v>720</v>
      </c>
      <c r="F22" s="15" t="s">
        <v>110</v>
      </c>
    </row>
    <row r="23" spans="1:6" ht="43.5" customHeight="1" x14ac:dyDescent="0.25">
      <c r="A23" s="17" t="s">
        <v>111</v>
      </c>
      <c r="B23" s="15" t="s">
        <v>112</v>
      </c>
      <c r="C23" s="18">
        <v>72</v>
      </c>
      <c r="D23" s="19">
        <v>12</v>
      </c>
      <c r="E23" s="18">
        <f>C23*D23</f>
        <v>864</v>
      </c>
      <c r="F23" s="15" t="s">
        <v>113</v>
      </c>
    </row>
    <row r="24" spans="1:6" ht="20.100000000000001" customHeight="1" x14ac:dyDescent="0.25">
      <c r="A24" s="100" t="s">
        <v>114</v>
      </c>
      <c r="B24" s="78"/>
      <c r="C24" s="20">
        <f>SUM(C20:C23)</f>
        <v>342</v>
      </c>
      <c r="D24" s="21" t="s">
        <v>83</v>
      </c>
      <c r="E24" s="22">
        <f>SUM(E20:E23)</f>
        <v>4104</v>
      </c>
      <c r="F24" s="23"/>
    </row>
    <row r="25" spans="1:6" ht="20.100000000000001" customHeight="1" x14ac:dyDescent="0.25">
      <c r="A25" s="101" t="s">
        <v>115</v>
      </c>
      <c r="B25" s="78"/>
      <c r="C25" s="78"/>
      <c r="D25" s="78"/>
      <c r="E25" s="78"/>
      <c r="F25" s="78"/>
    </row>
    <row r="26" spans="1:6" ht="54" customHeight="1" x14ac:dyDescent="0.25">
      <c r="A26" s="17" t="s">
        <v>116</v>
      </c>
      <c r="B26" s="15" t="s">
        <v>117</v>
      </c>
      <c r="C26" s="18">
        <v>361</v>
      </c>
      <c r="D26" s="19">
        <v>12</v>
      </c>
      <c r="E26" s="18">
        <f t="shared" ref="E26:E32" si="0">C26*D26</f>
        <v>4332</v>
      </c>
      <c r="F26" s="15" t="s">
        <v>118</v>
      </c>
    </row>
    <row r="27" spans="1:6" ht="54" customHeight="1" x14ac:dyDescent="0.25">
      <c r="A27" s="17" t="s">
        <v>119</v>
      </c>
      <c r="B27" s="15" t="s">
        <v>120</v>
      </c>
      <c r="C27" s="18">
        <v>240</v>
      </c>
      <c r="D27" s="19">
        <v>12</v>
      </c>
      <c r="E27" s="18">
        <f t="shared" si="0"/>
        <v>2880</v>
      </c>
      <c r="F27" s="15" t="s">
        <v>121</v>
      </c>
    </row>
    <row r="28" spans="1:6" ht="48" customHeight="1" x14ac:dyDescent="0.25">
      <c r="A28" s="17" t="s">
        <v>122</v>
      </c>
      <c r="B28" s="15" t="s">
        <v>123</v>
      </c>
      <c r="C28" s="18">
        <v>45</v>
      </c>
      <c r="D28" s="19">
        <v>12</v>
      </c>
      <c r="E28" s="18">
        <f t="shared" si="0"/>
        <v>540</v>
      </c>
      <c r="F28" s="15" t="s">
        <v>124</v>
      </c>
    </row>
    <row r="29" spans="1:6" ht="45" customHeight="1" x14ac:dyDescent="0.25">
      <c r="A29" s="17" t="s">
        <v>125</v>
      </c>
      <c r="B29" s="15" t="s">
        <v>126</v>
      </c>
      <c r="C29" s="18">
        <v>75</v>
      </c>
      <c r="D29" s="19">
        <v>12</v>
      </c>
      <c r="E29" s="18">
        <f t="shared" si="0"/>
        <v>900</v>
      </c>
      <c r="F29" s="15" t="s">
        <v>127</v>
      </c>
    </row>
    <row r="30" spans="1:6" ht="37.5" customHeight="1" x14ac:dyDescent="0.25">
      <c r="A30" s="17" t="s">
        <v>128</v>
      </c>
      <c r="B30" s="15" t="s">
        <v>129</v>
      </c>
      <c r="C30" s="18">
        <v>90</v>
      </c>
      <c r="D30" s="19">
        <v>12</v>
      </c>
      <c r="E30" s="18">
        <f t="shared" si="0"/>
        <v>1080</v>
      </c>
      <c r="F30" s="15" t="s">
        <v>130</v>
      </c>
    </row>
    <row r="31" spans="1:6" ht="79.5" customHeight="1" x14ac:dyDescent="0.25">
      <c r="A31" s="17" t="s">
        <v>131</v>
      </c>
      <c r="B31" s="15" t="s">
        <v>132</v>
      </c>
      <c r="C31" s="18">
        <v>60</v>
      </c>
      <c r="D31" s="19">
        <v>12</v>
      </c>
      <c r="E31" s="18">
        <f t="shared" si="0"/>
        <v>720</v>
      </c>
      <c r="F31" s="15" t="s">
        <v>133</v>
      </c>
    </row>
    <row r="32" spans="1:6" ht="64.5" customHeight="1" x14ac:dyDescent="0.25">
      <c r="A32" s="17" t="s">
        <v>134</v>
      </c>
      <c r="B32" s="15" t="s">
        <v>135</v>
      </c>
      <c r="C32" s="18">
        <v>45</v>
      </c>
      <c r="D32" s="19">
        <v>12</v>
      </c>
      <c r="E32" s="18">
        <f t="shared" si="0"/>
        <v>540</v>
      </c>
      <c r="F32" s="15" t="s">
        <v>136</v>
      </c>
    </row>
    <row r="33" spans="1:6" ht="20.100000000000001" customHeight="1" x14ac:dyDescent="0.25">
      <c r="A33" s="100" t="s">
        <v>137</v>
      </c>
      <c r="B33" s="78"/>
      <c r="C33" s="20">
        <f>SUM(C26:C32)</f>
        <v>916</v>
      </c>
      <c r="D33" s="21" t="s">
        <v>83</v>
      </c>
      <c r="E33" s="22">
        <f>SUM(E26:E32)</f>
        <v>10992</v>
      </c>
      <c r="F33" s="23"/>
    </row>
    <row r="34" spans="1:6" ht="20.100000000000001" customHeight="1" x14ac:dyDescent="0.25">
      <c r="A34" s="101" t="s">
        <v>138</v>
      </c>
      <c r="B34" s="78"/>
      <c r="C34" s="78"/>
      <c r="D34" s="78"/>
      <c r="E34" s="78"/>
      <c r="F34" s="78"/>
    </row>
    <row r="35" spans="1:6" ht="82.5" customHeight="1" x14ac:dyDescent="0.25">
      <c r="A35" s="17" t="s">
        <v>139</v>
      </c>
      <c r="B35" s="15" t="s">
        <v>140</v>
      </c>
      <c r="C35" s="18">
        <v>549</v>
      </c>
      <c r="D35" s="19">
        <v>12</v>
      </c>
      <c r="E35" s="18">
        <f>C35*D35</f>
        <v>6588</v>
      </c>
      <c r="F35" s="15" t="s">
        <v>141</v>
      </c>
    </row>
    <row r="36" spans="1:6" ht="55.5" customHeight="1" x14ac:dyDescent="0.25">
      <c r="A36" s="17" t="s">
        <v>142</v>
      </c>
      <c r="B36" s="15" t="s">
        <v>143</v>
      </c>
      <c r="C36" s="18">
        <v>135</v>
      </c>
      <c r="D36" s="19">
        <v>12</v>
      </c>
      <c r="E36" s="18">
        <f>C36*D36</f>
        <v>1620</v>
      </c>
      <c r="F36" s="15" t="s">
        <v>144</v>
      </c>
    </row>
    <row r="37" spans="1:6" ht="55.5" customHeight="1" x14ac:dyDescent="0.25">
      <c r="A37" s="17" t="s">
        <v>145</v>
      </c>
      <c r="B37" s="15" t="s">
        <v>146</v>
      </c>
      <c r="C37" s="18">
        <v>60</v>
      </c>
      <c r="D37" s="19">
        <v>12</v>
      </c>
      <c r="E37" s="18">
        <f>C37*D37</f>
        <v>720</v>
      </c>
      <c r="F37" s="15" t="s">
        <v>147</v>
      </c>
    </row>
    <row r="38" spans="1:6" ht="20.100000000000001" customHeight="1" x14ac:dyDescent="0.25">
      <c r="A38" s="100" t="s">
        <v>148</v>
      </c>
      <c r="B38" s="78"/>
      <c r="C38" s="20">
        <f>SUM(C35:C37)</f>
        <v>744</v>
      </c>
      <c r="D38" s="21" t="s">
        <v>83</v>
      </c>
      <c r="E38" s="22">
        <f>SUM(E35:E37)</f>
        <v>8928</v>
      </c>
      <c r="F38" s="23"/>
    </row>
    <row r="39" spans="1:6" ht="20.100000000000001" customHeight="1" x14ac:dyDescent="0.25">
      <c r="A39" s="101" t="s">
        <v>149</v>
      </c>
      <c r="B39" s="78"/>
      <c r="C39" s="78"/>
      <c r="D39" s="78"/>
      <c r="E39" s="78"/>
      <c r="F39" s="78"/>
    </row>
    <row r="40" spans="1:6" ht="52.5" customHeight="1" x14ac:dyDescent="0.25">
      <c r="A40" s="17" t="s">
        <v>150</v>
      </c>
      <c r="B40" s="15" t="s">
        <v>151</v>
      </c>
      <c r="C40" s="18">
        <v>990</v>
      </c>
      <c r="D40" s="19">
        <v>12</v>
      </c>
      <c r="E40" s="18">
        <f>C40*D40</f>
        <v>11880</v>
      </c>
      <c r="F40" s="15" t="s">
        <v>152</v>
      </c>
    </row>
    <row r="41" spans="1:6" ht="43.5" customHeight="1" x14ac:dyDescent="0.25">
      <c r="A41" s="17" t="s">
        <v>153</v>
      </c>
      <c r="B41" s="15" t="s">
        <v>154</v>
      </c>
      <c r="C41" s="18">
        <v>80</v>
      </c>
      <c r="D41" s="19">
        <v>12</v>
      </c>
      <c r="E41" s="18">
        <f>C41*D41</f>
        <v>960</v>
      </c>
      <c r="F41" s="15" t="s">
        <v>155</v>
      </c>
    </row>
    <row r="42" spans="1:6" ht="54.75" customHeight="1" x14ac:dyDescent="0.25">
      <c r="A42" s="17" t="s">
        <v>156</v>
      </c>
      <c r="B42" s="15" t="s">
        <v>157</v>
      </c>
      <c r="C42" s="18">
        <v>30</v>
      </c>
      <c r="D42" s="19">
        <v>12</v>
      </c>
      <c r="E42" s="18">
        <f>C42*D42</f>
        <v>360</v>
      </c>
      <c r="F42" s="15" t="s">
        <v>158</v>
      </c>
    </row>
    <row r="43" spans="1:6" ht="57" customHeight="1" x14ac:dyDescent="0.25">
      <c r="A43" s="17" t="s">
        <v>159</v>
      </c>
      <c r="B43" s="15" t="s">
        <v>160</v>
      </c>
      <c r="C43" s="18">
        <v>24</v>
      </c>
      <c r="D43" s="19">
        <v>12</v>
      </c>
      <c r="E43" s="18">
        <f>C43*D43</f>
        <v>288</v>
      </c>
      <c r="F43" s="15" t="s">
        <v>161</v>
      </c>
    </row>
    <row r="44" spans="1:6" ht="20.100000000000001" customHeight="1" x14ac:dyDescent="0.25">
      <c r="A44" s="100" t="s">
        <v>162</v>
      </c>
      <c r="B44" s="78"/>
      <c r="C44" s="20">
        <f>SUM(C40:C43)</f>
        <v>1124</v>
      </c>
      <c r="D44" s="21" t="s">
        <v>83</v>
      </c>
      <c r="E44" s="22">
        <f>SUM(E40:E43)</f>
        <v>13488</v>
      </c>
      <c r="F44" s="23"/>
    </row>
    <row r="45" spans="1:6" ht="20.100000000000001" customHeight="1" x14ac:dyDescent="0.25">
      <c r="A45" s="101" t="s">
        <v>163</v>
      </c>
      <c r="B45" s="78"/>
      <c r="C45" s="78"/>
      <c r="D45" s="78"/>
      <c r="E45" s="78"/>
      <c r="F45" s="78"/>
    </row>
    <row r="46" spans="1:6" ht="51.75" customHeight="1" x14ac:dyDescent="0.25">
      <c r="A46" s="17" t="s">
        <v>164</v>
      </c>
      <c r="B46" s="15" t="s">
        <v>165</v>
      </c>
      <c r="C46" s="18">
        <v>56</v>
      </c>
      <c r="D46" s="19">
        <v>12</v>
      </c>
      <c r="E46" s="18">
        <f t="shared" ref="E46:E51" si="1">C46*D46</f>
        <v>672</v>
      </c>
      <c r="F46" s="15" t="s">
        <v>166</v>
      </c>
    </row>
    <row r="47" spans="1:6" ht="60.75" customHeight="1" x14ac:dyDescent="0.25">
      <c r="A47" s="17" t="s">
        <v>167</v>
      </c>
      <c r="B47" s="15" t="s">
        <v>168</v>
      </c>
      <c r="C47" s="18">
        <v>116</v>
      </c>
      <c r="D47" s="19">
        <v>12</v>
      </c>
      <c r="E47" s="18">
        <f t="shared" si="1"/>
        <v>1392</v>
      </c>
      <c r="F47" s="15" t="s">
        <v>169</v>
      </c>
    </row>
    <row r="48" spans="1:6" ht="53.25" customHeight="1" x14ac:dyDescent="0.25">
      <c r="A48" s="17" t="s">
        <v>170</v>
      </c>
      <c r="B48" s="15" t="s">
        <v>171</v>
      </c>
      <c r="C48" s="18">
        <v>169</v>
      </c>
      <c r="D48" s="19">
        <v>12</v>
      </c>
      <c r="E48" s="18">
        <f t="shared" si="1"/>
        <v>2028</v>
      </c>
      <c r="F48" s="15" t="s">
        <v>172</v>
      </c>
    </row>
    <row r="49" spans="1:6" ht="60" customHeight="1" x14ac:dyDescent="0.25">
      <c r="A49" s="17" t="s">
        <v>173</v>
      </c>
      <c r="B49" s="15" t="s">
        <v>174</v>
      </c>
      <c r="C49" s="18">
        <v>60</v>
      </c>
      <c r="D49" s="19">
        <v>12</v>
      </c>
      <c r="E49" s="18">
        <f t="shared" si="1"/>
        <v>720</v>
      </c>
      <c r="F49" s="15" t="s">
        <v>175</v>
      </c>
    </row>
    <row r="50" spans="1:6" ht="49.5" customHeight="1" x14ac:dyDescent="0.25">
      <c r="A50" s="17" t="s">
        <v>176</v>
      </c>
      <c r="B50" s="15" t="s">
        <v>177</v>
      </c>
      <c r="C50" s="18">
        <v>45</v>
      </c>
      <c r="D50" s="19">
        <v>12</v>
      </c>
      <c r="E50" s="18">
        <f t="shared" si="1"/>
        <v>540</v>
      </c>
      <c r="F50" s="15" t="s">
        <v>178</v>
      </c>
    </row>
    <row r="51" spans="1:6" ht="67.5" customHeight="1" x14ac:dyDescent="0.25">
      <c r="A51" s="17" t="s">
        <v>179</v>
      </c>
      <c r="B51" s="15" t="s">
        <v>180</v>
      </c>
      <c r="C51" s="18">
        <v>90</v>
      </c>
      <c r="D51" s="19">
        <v>12</v>
      </c>
      <c r="E51" s="18">
        <f t="shared" si="1"/>
        <v>1080</v>
      </c>
      <c r="F51" s="15" t="s">
        <v>181</v>
      </c>
    </row>
    <row r="52" spans="1:6" ht="20.100000000000001" customHeight="1" x14ac:dyDescent="0.25">
      <c r="A52" s="100" t="s">
        <v>182</v>
      </c>
      <c r="B52" s="78"/>
      <c r="C52" s="20">
        <f>SUM(C46:C51)</f>
        <v>536</v>
      </c>
      <c r="D52" s="21" t="s">
        <v>83</v>
      </c>
      <c r="E52" s="22">
        <f>SUM(E46:E51)</f>
        <v>6432</v>
      </c>
      <c r="F52" s="23"/>
    </row>
    <row r="53" spans="1:6" ht="20.100000000000001" customHeight="1" x14ac:dyDescent="0.25">
      <c r="A53" s="101" t="s">
        <v>183</v>
      </c>
      <c r="B53" s="78"/>
      <c r="C53" s="78"/>
      <c r="D53" s="78"/>
      <c r="E53" s="78"/>
      <c r="F53" s="78"/>
    </row>
    <row r="54" spans="1:6" ht="87.75" customHeight="1" x14ac:dyDescent="0.25">
      <c r="A54" s="17" t="s">
        <v>184</v>
      </c>
      <c r="B54" s="15" t="s">
        <v>185</v>
      </c>
      <c r="C54" s="18">
        <v>4</v>
      </c>
      <c r="D54" s="19">
        <v>12</v>
      </c>
      <c r="E54" s="18">
        <f>C54*D54</f>
        <v>48</v>
      </c>
      <c r="F54" s="15" t="s">
        <v>186</v>
      </c>
    </row>
    <row r="55" spans="1:6" ht="90.75" customHeight="1" x14ac:dyDescent="0.25">
      <c r="A55" s="17" t="s">
        <v>187</v>
      </c>
      <c r="B55" s="15" t="s">
        <v>188</v>
      </c>
      <c r="C55" s="18">
        <v>120</v>
      </c>
      <c r="D55" s="19">
        <v>12</v>
      </c>
      <c r="E55" s="18">
        <f>C55*D55</f>
        <v>1440</v>
      </c>
      <c r="F55" s="15" t="s">
        <v>189</v>
      </c>
    </row>
    <row r="56" spans="1:6" ht="69" customHeight="1" x14ac:dyDescent="0.25">
      <c r="A56" s="17" t="s">
        <v>190</v>
      </c>
      <c r="B56" s="15" t="s">
        <v>191</v>
      </c>
      <c r="C56" s="18">
        <v>1</v>
      </c>
      <c r="D56" s="19">
        <v>12</v>
      </c>
      <c r="E56" s="18">
        <f>C56*D56</f>
        <v>12</v>
      </c>
      <c r="F56" s="15" t="s">
        <v>192</v>
      </c>
    </row>
    <row r="57" spans="1:6" ht="20.100000000000001" customHeight="1" x14ac:dyDescent="0.25">
      <c r="A57" s="100" t="s">
        <v>193</v>
      </c>
      <c r="B57" s="78"/>
      <c r="C57" s="20">
        <f>SUM(C54:C56)</f>
        <v>125</v>
      </c>
      <c r="D57" s="21" t="s">
        <v>83</v>
      </c>
      <c r="E57" s="22">
        <f>SUM(E54:E56)</f>
        <v>1500</v>
      </c>
      <c r="F57" s="23"/>
    </row>
    <row r="58" spans="1:6" ht="20.100000000000001" customHeight="1" x14ac:dyDescent="0.25">
      <c r="A58" s="101" t="s">
        <v>194</v>
      </c>
      <c r="B58" s="78"/>
      <c r="C58" s="78"/>
      <c r="D58" s="78"/>
      <c r="E58" s="78"/>
      <c r="F58" s="78"/>
    </row>
    <row r="59" spans="1:6" ht="137.25" customHeight="1" x14ac:dyDescent="0.25">
      <c r="A59" s="17" t="s">
        <v>195</v>
      </c>
      <c r="B59" s="15" t="s">
        <v>196</v>
      </c>
      <c r="C59" s="18">
        <v>300</v>
      </c>
      <c r="D59" s="19">
        <v>12</v>
      </c>
      <c r="E59" s="18">
        <f>C59*D59</f>
        <v>3600</v>
      </c>
      <c r="F59" s="15" t="s">
        <v>197</v>
      </c>
    </row>
    <row r="60" spans="1:6" ht="102" customHeight="1" x14ac:dyDescent="0.25">
      <c r="A60" s="17" t="s">
        <v>198</v>
      </c>
      <c r="B60" s="15" t="s">
        <v>199</v>
      </c>
      <c r="C60" s="18">
        <v>625</v>
      </c>
      <c r="D60" s="19">
        <v>12</v>
      </c>
      <c r="E60" s="18">
        <f>C60*D60</f>
        <v>7500</v>
      </c>
      <c r="F60" s="15" t="s">
        <v>200</v>
      </c>
    </row>
    <row r="61" spans="1:6" ht="20.100000000000001" customHeight="1" x14ac:dyDescent="0.25">
      <c r="A61" s="100" t="s">
        <v>201</v>
      </c>
      <c r="B61" s="78"/>
      <c r="C61" s="20">
        <f>SUM(C59:C60)</f>
        <v>925</v>
      </c>
      <c r="D61" s="21" t="s">
        <v>83</v>
      </c>
      <c r="E61" s="22">
        <f>SUM(E59:E60)</f>
        <v>11100</v>
      </c>
      <c r="F61" s="23"/>
    </row>
    <row r="62" spans="1:6" ht="20.100000000000001" customHeight="1" x14ac:dyDescent="0.25">
      <c r="A62" s="101" t="s">
        <v>202</v>
      </c>
      <c r="B62" s="78"/>
      <c r="C62" s="78"/>
      <c r="D62" s="78"/>
      <c r="E62" s="78"/>
      <c r="F62" s="78"/>
    </row>
    <row r="63" spans="1:6" ht="118.5" customHeight="1" x14ac:dyDescent="0.25">
      <c r="A63" s="17" t="s">
        <v>203</v>
      </c>
      <c r="B63" s="15" t="s">
        <v>204</v>
      </c>
      <c r="C63" s="18">
        <v>1250</v>
      </c>
      <c r="D63" s="19">
        <v>12</v>
      </c>
      <c r="E63" s="18">
        <f>C63*D63</f>
        <v>15000</v>
      </c>
      <c r="F63" s="15" t="s">
        <v>205</v>
      </c>
    </row>
    <row r="64" spans="1:6" ht="90" customHeight="1" x14ac:dyDescent="0.25">
      <c r="A64" s="17" t="s">
        <v>206</v>
      </c>
      <c r="B64" s="15" t="s">
        <v>207</v>
      </c>
      <c r="C64" s="18">
        <v>833</v>
      </c>
      <c r="D64" s="19">
        <v>12</v>
      </c>
      <c r="E64" s="18">
        <f>C64*D64</f>
        <v>9996</v>
      </c>
      <c r="F64" s="15" t="s">
        <v>208</v>
      </c>
    </row>
    <row r="65" spans="1:6" ht="96" customHeight="1" x14ac:dyDescent="0.25">
      <c r="A65" s="17" t="s">
        <v>209</v>
      </c>
      <c r="B65" s="15" t="s">
        <v>210</v>
      </c>
      <c r="C65" s="18">
        <v>333</v>
      </c>
      <c r="D65" s="19">
        <v>12</v>
      </c>
      <c r="E65" s="18">
        <f>C65*D65</f>
        <v>3996</v>
      </c>
      <c r="F65" s="15" t="s">
        <v>211</v>
      </c>
    </row>
    <row r="66" spans="1:6" ht="20.100000000000001" customHeight="1" x14ac:dyDescent="0.25">
      <c r="A66" s="100" t="s">
        <v>212</v>
      </c>
      <c r="B66" s="78"/>
      <c r="C66" s="20">
        <f>SUM(C63:C65)</f>
        <v>2416</v>
      </c>
      <c r="D66" s="21" t="s">
        <v>83</v>
      </c>
      <c r="E66" s="22">
        <f>SUM(E63:E65)</f>
        <v>28992</v>
      </c>
      <c r="F66" s="23"/>
    </row>
    <row r="67" spans="1:6" ht="20.100000000000001" customHeight="1" x14ac:dyDescent="0.25">
      <c r="A67" s="101" t="s">
        <v>213</v>
      </c>
      <c r="B67" s="78"/>
      <c r="C67" s="78"/>
      <c r="D67" s="78"/>
      <c r="E67" s="78"/>
      <c r="F67" s="78"/>
    </row>
    <row r="68" spans="1:6" ht="84" x14ac:dyDescent="0.25">
      <c r="A68" s="17" t="s">
        <v>214</v>
      </c>
      <c r="B68" s="15" t="s">
        <v>215</v>
      </c>
      <c r="C68" s="18">
        <v>450</v>
      </c>
      <c r="D68" s="19">
        <v>12</v>
      </c>
      <c r="E68" s="18">
        <f>C68*D68</f>
        <v>5400</v>
      </c>
      <c r="F68" s="15" t="s">
        <v>216</v>
      </c>
    </row>
    <row r="69" spans="1:6" ht="60" x14ac:dyDescent="0.25">
      <c r="A69" s="17" t="s">
        <v>217</v>
      </c>
      <c r="B69" s="15" t="s">
        <v>218</v>
      </c>
      <c r="C69" s="18">
        <v>240</v>
      </c>
      <c r="D69" s="19">
        <v>12</v>
      </c>
      <c r="E69" s="18">
        <f>C69*D69</f>
        <v>2880</v>
      </c>
      <c r="F69" s="15" t="s">
        <v>219</v>
      </c>
    </row>
    <row r="70" spans="1:6" ht="84" x14ac:dyDescent="0.25">
      <c r="A70" s="17" t="s">
        <v>220</v>
      </c>
      <c r="B70" s="15" t="s">
        <v>221</v>
      </c>
      <c r="C70" s="18">
        <v>1800</v>
      </c>
      <c r="D70" s="19">
        <v>12</v>
      </c>
      <c r="E70" s="18">
        <f>C70*D70</f>
        <v>21600</v>
      </c>
      <c r="F70" s="15" t="s">
        <v>222</v>
      </c>
    </row>
    <row r="71" spans="1:6" ht="72" x14ac:dyDescent="0.25">
      <c r="A71" s="17" t="s">
        <v>223</v>
      </c>
      <c r="B71" s="15" t="s">
        <v>224</v>
      </c>
      <c r="C71" s="18">
        <v>150</v>
      </c>
      <c r="D71" s="19">
        <v>12</v>
      </c>
      <c r="E71" s="18">
        <f>C71*D71</f>
        <v>1800</v>
      </c>
      <c r="F71" s="15" t="s">
        <v>225</v>
      </c>
    </row>
    <row r="72" spans="1:6" ht="20.100000000000001" customHeight="1" x14ac:dyDescent="0.25">
      <c r="A72" s="100" t="s">
        <v>226</v>
      </c>
      <c r="B72" s="78"/>
      <c r="C72" s="20">
        <f>SUM(C68:C71)</f>
        <v>2640</v>
      </c>
      <c r="D72" s="21" t="s">
        <v>83</v>
      </c>
      <c r="E72" s="22">
        <f>SUM(E68:E71)</f>
        <v>31680</v>
      </c>
      <c r="F72" s="23"/>
    </row>
    <row r="73" spans="1:6" ht="20.100000000000001" customHeight="1" x14ac:dyDescent="0.25">
      <c r="A73" s="101" t="s">
        <v>227</v>
      </c>
      <c r="B73" s="78"/>
      <c r="C73" s="78"/>
      <c r="D73" s="78"/>
      <c r="E73" s="78"/>
      <c r="F73" s="78"/>
    </row>
    <row r="74" spans="1:6" ht="84" x14ac:dyDescent="0.25">
      <c r="A74" s="17" t="s">
        <v>228</v>
      </c>
      <c r="B74" s="15" t="s">
        <v>229</v>
      </c>
      <c r="C74" s="18">
        <v>15000</v>
      </c>
      <c r="D74" s="19">
        <v>12</v>
      </c>
      <c r="E74" s="18">
        <f>C74*D74</f>
        <v>180000</v>
      </c>
      <c r="F74" s="15" t="s">
        <v>230</v>
      </c>
    </row>
    <row r="75" spans="1:6" ht="72" x14ac:dyDescent="0.25">
      <c r="A75" s="17" t="s">
        <v>231</v>
      </c>
      <c r="B75" s="15" t="s">
        <v>232</v>
      </c>
      <c r="C75" s="18">
        <v>9000</v>
      </c>
      <c r="D75" s="19">
        <v>12</v>
      </c>
      <c r="E75" s="18">
        <f>C75*D75</f>
        <v>108000</v>
      </c>
      <c r="F75" s="15" t="s">
        <v>233</v>
      </c>
    </row>
    <row r="76" spans="1:6" ht="72" x14ac:dyDescent="0.25">
      <c r="A76" s="17" t="s">
        <v>234</v>
      </c>
      <c r="B76" s="15" t="s">
        <v>235</v>
      </c>
      <c r="C76" s="18">
        <v>2000</v>
      </c>
      <c r="D76" s="19">
        <v>12</v>
      </c>
      <c r="E76" s="18">
        <f>C76*D76</f>
        <v>24000</v>
      </c>
      <c r="F76" s="15" t="s">
        <v>236</v>
      </c>
    </row>
    <row r="77" spans="1:6" ht="60" x14ac:dyDescent="0.25">
      <c r="A77" s="17" t="s">
        <v>237</v>
      </c>
      <c r="B77" s="15" t="s">
        <v>238</v>
      </c>
      <c r="C77" s="18">
        <v>900</v>
      </c>
      <c r="D77" s="19">
        <v>12</v>
      </c>
      <c r="E77" s="18">
        <f>C77*D77</f>
        <v>10800</v>
      </c>
      <c r="F77" s="15" t="s">
        <v>239</v>
      </c>
    </row>
    <row r="78" spans="1:6" ht="20.100000000000001" customHeight="1" x14ac:dyDescent="0.25">
      <c r="A78" s="100" t="s">
        <v>240</v>
      </c>
      <c r="B78" s="78"/>
      <c r="C78" s="20">
        <f>SUM(C74:C77)</f>
        <v>26900</v>
      </c>
      <c r="D78" s="21" t="s">
        <v>83</v>
      </c>
      <c r="E78" s="22">
        <f>SUM(E74:E77)</f>
        <v>322800</v>
      </c>
      <c r="F78" s="23"/>
    </row>
    <row r="79" spans="1:6" ht="20.100000000000001" customHeight="1" x14ac:dyDescent="0.25">
      <c r="A79" s="101" t="s">
        <v>241</v>
      </c>
      <c r="B79" s="78"/>
      <c r="C79" s="78"/>
      <c r="D79" s="78"/>
      <c r="E79" s="78"/>
      <c r="F79" s="78"/>
    </row>
    <row r="80" spans="1:6" ht="84" x14ac:dyDescent="0.25">
      <c r="A80" s="17" t="s">
        <v>242</v>
      </c>
      <c r="B80" s="15" t="s">
        <v>243</v>
      </c>
      <c r="C80" s="18">
        <v>17</v>
      </c>
      <c r="D80" s="19">
        <v>12</v>
      </c>
      <c r="E80" s="18">
        <f>C80*D80</f>
        <v>204</v>
      </c>
      <c r="F80" s="15" t="s">
        <v>244</v>
      </c>
    </row>
    <row r="81" spans="1:6" ht="72" x14ac:dyDescent="0.25">
      <c r="A81" s="17" t="s">
        <v>245</v>
      </c>
      <c r="B81" s="15" t="s">
        <v>246</v>
      </c>
      <c r="C81" s="18">
        <v>150</v>
      </c>
      <c r="D81" s="19">
        <v>12</v>
      </c>
      <c r="E81" s="18">
        <f>C81*D81</f>
        <v>1800</v>
      </c>
      <c r="F81" s="15" t="s">
        <v>247</v>
      </c>
    </row>
    <row r="82" spans="1:6" ht="84" x14ac:dyDescent="0.25">
      <c r="A82" s="17" t="s">
        <v>248</v>
      </c>
      <c r="B82" s="15" t="s">
        <v>249</v>
      </c>
      <c r="C82" s="18">
        <v>1050</v>
      </c>
      <c r="D82" s="19">
        <v>12</v>
      </c>
      <c r="E82" s="18">
        <f>C82*D82</f>
        <v>12600</v>
      </c>
      <c r="F82" s="15" t="s">
        <v>250</v>
      </c>
    </row>
    <row r="83" spans="1:6" ht="84" x14ac:dyDescent="0.25">
      <c r="A83" s="17" t="s">
        <v>251</v>
      </c>
      <c r="B83" s="15" t="s">
        <v>252</v>
      </c>
      <c r="C83" s="18">
        <v>420</v>
      </c>
      <c r="D83" s="19">
        <v>12</v>
      </c>
      <c r="E83" s="18">
        <f>C83*D83</f>
        <v>5040</v>
      </c>
      <c r="F83" s="15" t="s">
        <v>253</v>
      </c>
    </row>
    <row r="84" spans="1:6" ht="72" x14ac:dyDescent="0.25">
      <c r="A84" s="17" t="s">
        <v>254</v>
      </c>
      <c r="B84" s="15" t="s">
        <v>255</v>
      </c>
      <c r="C84" s="18">
        <v>160</v>
      </c>
      <c r="D84" s="19">
        <v>12</v>
      </c>
      <c r="E84" s="18">
        <f>C84*D84</f>
        <v>1920</v>
      </c>
      <c r="F84" s="15" t="s">
        <v>256</v>
      </c>
    </row>
    <row r="85" spans="1:6" ht="20.100000000000001" customHeight="1" x14ac:dyDescent="0.25">
      <c r="A85" s="100" t="s">
        <v>257</v>
      </c>
      <c r="B85" s="78"/>
      <c r="C85" s="20">
        <f>SUM(C80:C84)</f>
        <v>1797</v>
      </c>
      <c r="D85" s="21" t="s">
        <v>83</v>
      </c>
      <c r="E85" s="22">
        <f>SUM(E80:E84)</f>
        <v>21564</v>
      </c>
      <c r="F85" s="23"/>
    </row>
    <row r="87" spans="1:6" ht="27.95" customHeight="1" x14ac:dyDescent="0.25">
      <c r="A87" s="102" t="s">
        <v>258</v>
      </c>
      <c r="B87" s="78"/>
      <c r="C87" s="24">
        <f>(E11+E18+E24+E33+E38+E44+E52+E57+E61+E66+E72+E78+E85)/12</f>
        <v>41052</v>
      </c>
      <c r="D87" s="25" t="s">
        <v>83</v>
      </c>
      <c r="E87" s="26">
        <f>E11+E18+E24+E33+E38+E44+E52+E57+E61+E66+E72+E78+E85</f>
        <v>492624</v>
      </c>
      <c r="F87" s="27" t="s">
        <v>259</v>
      </c>
    </row>
    <row r="200" spans="3:3" x14ac:dyDescent="0.25">
      <c r="C200" s="28">
        <f>E87</f>
        <v>492624</v>
      </c>
    </row>
  </sheetData>
  <mergeCells count="29">
    <mergeCell ref="A1:F1"/>
    <mergeCell ref="A45:F45"/>
    <mergeCell ref="A79:F79"/>
    <mergeCell ref="A44:B44"/>
    <mergeCell ref="A25:F25"/>
    <mergeCell ref="A2:F2"/>
    <mergeCell ref="A78:B78"/>
    <mergeCell ref="A5:F5"/>
    <mergeCell ref="A66:B66"/>
    <mergeCell ref="A62:F62"/>
    <mergeCell ref="A18:B18"/>
    <mergeCell ref="A53:F53"/>
    <mergeCell ref="A19:F19"/>
    <mergeCell ref="A57:B57"/>
    <mergeCell ref="A33:B33"/>
    <mergeCell ref="A67:F67"/>
    <mergeCell ref="A58:F58"/>
    <mergeCell ref="A34:F34"/>
    <mergeCell ref="A39:F39"/>
    <mergeCell ref="A73:F73"/>
    <mergeCell ref="A38:B38"/>
    <mergeCell ref="A24:B24"/>
    <mergeCell ref="A11:B11"/>
    <mergeCell ref="A12:F12"/>
    <mergeCell ref="A61:B61"/>
    <mergeCell ref="A87:B87"/>
    <mergeCell ref="A85:B85"/>
    <mergeCell ref="A72:B72"/>
    <mergeCell ref="A52:B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"/>
  <sheetViews>
    <sheetView showGridLines="0" tabSelected="1" workbookViewId="0">
      <pane ySplit="4" topLeftCell="A5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47.7109375" customWidth="1"/>
    <col min="2" max="2" width="40" customWidth="1"/>
    <col min="3" max="5" width="16" customWidth="1"/>
    <col min="6" max="6" width="22" customWidth="1"/>
  </cols>
  <sheetData>
    <row r="1" spans="1:6" ht="39.950000000000003" customHeight="1" x14ac:dyDescent="0.25">
      <c r="A1" s="104" t="s">
        <v>260</v>
      </c>
      <c r="B1" s="78"/>
      <c r="C1" s="78"/>
      <c r="D1" s="78"/>
      <c r="E1" s="78"/>
      <c r="F1" s="78"/>
    </row>
    <row r="2" spans="1:6" ht="21.95" customHeight="1" x14ac:dyDescent="0.25">
      <c r="A2" s="103" t="s">
        <v>59</v>
      </c>
      <c r="B2" s="78"/>
      <c r="C2" s="78"/>
      <c r="D2" s="78"/>
      <c r="E2" s="78"/>
      <c r="F2" s="78"/>
    </row>
    <row r="3" spans="1:6" ht="20.100000000000001" customHeight="1" x14ac:dyDescent="0.25"/>
    <row r="4" spans="1:6" ht="20.100000000000001" customHeight="1" x14ac:dyDescent="0.25">
      <c r="A4" s="16" t="s">
        <v>60</v>
      </c>
      <c r="B4" s="16" t="s">
        <v>61</v>
      </c>
      <c r="C4" s="16" t="s">
        <v>62</v>
      </c>
      <c r="D4" s="16" t="s">
        <v>63</v>
      </c>
      <c r="E4" s="16" t="s">
        <v>64</v>
      </c>
      <c r="F4" s="16" t="s">
        <v>65</v>
      </c>
    </row>
    <row r="5" spans="1:6" ht="20.100000000000001" customHeight="1" x14ac:dyDescent="0.25">
      <c r="A5" s="101" t="s">
        <v>66</v>
      </c>
      <c r="B5" s="78"/>
      <c r="C5" s="78"/>
      <c r="D5" s="78"/>
      <c r="E5" s="78"/>
      <c r="F5" s="78"/>
    </row>
    <row r="6" spans="1:6" ht="76.5" customHeight="1" x14ac:dyDescent="0.25">
      <c r="A6" s="17" t="s">
        <v>67</v>
      </c>
      <c r="B6" s="15" t="s">
        <v>261</v>
      </c>
      <c r="C6" s="18">
        <v>199</v>
      </c>
      <c r="D6" s="19">
        <v>12</v>
      </c>
      <c r="E6" s="18">
        <f>C6*D6</f>
        <v>2388</v>
      </c>
      <c r="F6" s="15" t="s">
        <v>69</v>
      </c>
    </row>
    <row r="7" spans="1:6" ht="42" customHeight="1" x14ac:dyDescent="0.25">
      <c r="A7" s="17" t="s">
        <v>70</v>
      </c>
      <c r="B7" s="15" t="s">
        <v>262</v>
      </c>
      <c r="C7" s="18">
        <v>17</v>
      </c>
      <c r="D7" s="19">
        <v>12</v>
      </c>
      <c r="E7" s="18">
        <f>C7*D7</f>
        <v>204</v>
      </c>
      <c r="F7" s="15" t="s">
        <v>72</v>
      </c>
    </row>
    <row r="8" spans="1:6" ht="54" customHeight="1" x14ac:dyDescent="0.25">
      <c r="A8" s="17" t="s">
        <v>73</v>
      </c>
      <c r="B8" s="15" t="s">
        <v>263</v>
      </c>
      <c r="C8" s="18">
        <v>3818</v>
      </c>
      <c r="D8" s="19">
        <v>12</v>
      </c>
      <c r="E8" s="18">
        <f>C8*D8</f>
        <v>45816</v>
      </c>
      <c r="F8" s="15" t="s">
        <v>75</v>
      </c>
    </row>
    <row r="9" spans="1:6" ht="48" customHeight="1" x14ac:dyDescent="0.25">
      <c r="A9" s="17" t="s">
        <v>76</v>
      </c>
      <c r="B9" s="15" t="s">
        <v>77</v>
      </c>
      <c r="C9" s="18">
        <v>389</v>
      </c>
      <c r="D9" s="19">
        <v>12</v>
      </c>
      <c r="E9" s="18">
        <f>C9*D9</f>
        <v>4668</v>
      </c>
      <c r="F9" s="15" t="s">
        <v>78</v>
      </c>
    </row>
    <row r="10" spans="1:6" ht="41.25" customHeight="1" x14ac:dyDescent="0.25">
      <c r="A10" s="17" t="s">
        <v>79</v>
      </c>
      <c r="B10" s="15" t="s">
        <v>80</v>
      </c>
      <c r="C10" s="18">
        <v>52</v>
      </c>
      <c r="D10" s="19">
        <v>12</v>
      </c>
      <c r="E10" s="18">
        <f>C10*D10</f>
        <v>624</v>
      </c>
      <c r="F10" s="15" t="s">
        <v>81</v>
      </c>
    </row>
    <row r="11" spans="1:6" ht="20.100000000000001" customHeight="1" x14ac:dyDescent="0.25">
      <c r="A11" s="100" t="s">
        <v>82</v>
      </c>
      <c r="B11" s="78"/>
      <c r="C11" s="20">
        <f>SUM(C6:C10)</f>
        <v>4475</v>
      </c>
      <c r="D11" s="21" t="s">
        <v>83</v>
      </c>
      <c r="E11" s="22">
        <f>SUM(E6:E10)</f>
        <v>53700</v>
      </c>
      <c r="F11" s="23"/>
    </row>
    <row r="12" spans="1:6" ht="20.100000000000001" customHeight="1" x14ac:dyDescent="0.25">
      <c r="A12" s="101" t="s">
        <v>84</v>
      </c>
      <c r="B12" s="78"/>
      <c r="C12" s="78"/>
      <c r="D12" s="78"/>
      <c r="E12" s="78"/>
      <c r="F12" s="78"/>
    </row>
    <row r="13" spans="1:6" ht="60" customHeight="1" x14ac:dyDescent="0.25">
      <c r="A13" s="17" t="s">
        <v>85</v>
      </c>
      <c r="B13" s="15" t="s">
        <v>264</v>
      </c>
      <c r="C13" s="18">
        <v>1268</v>
      </c>
      <c r="D13" s="19">
        <v>12</v>
      </c>
      <c r="E13" s="18">
        <f>C13*D13</f>
        <v>15216</v>
      </c>
      <c r="F13" s="15" t="s">
        <v>87</v>
      </c>
    </row>
    <row r="14" spans="1:6" ht="73.5" customHeight="1" x14ac:dyDescent="0.25">
      <c r="A14" s="17" t="s">
        <v>88</v>
      </c>
      <c r="B14" s="15" t="s">
        <v>265</v>
      </c>
      <c r="C14" s="18">
        <v>95</v>
      </c>
      <c r="D14" s="19">
        <v>12</v>
      </c>
      <c r="E14" s="18">
        <f>C14*D14</f>
        <v>1140</v>
      </c>
      <c r="F14" s="15" t="s">
        <v>90</v>
      </c>
    </row>
    <row r="15" spans="1:6" ht="66.75" customHeight="1" x14ac:dyDescent="0.25">
      <c r="A15" s="17" t="s">
        <v>91</v>
      </c>
      <c r="B15" s="15" t="s">
        <v>266</v>
      </c>
      <c r="C15" s="18">
        <v>38</v>
      </c>
      <c r="D15" s="19">
        <v>12</v>
      </c>
      <c r="E15" s="18">
        <f>C15*D15</f>
        <v>456</v>
      </c>
      <c r="F15" s="15" t="s">
        <v>93</v>
      </c>
    </row>
    <row r="16" spans="1:6" ht="71.25" customHeight="1" x14ac:dyDescent="0.25">
      <c r="A16" s="17" t="s">
        <v>94</v>
      </c>
      <c r="B16" s="15" t="s">
        <v>95</v>
      </c>
      <c r="C16" s="18">
        <v>38</v>
      </c>
      <c r="D16" s="19">
        <v>12</v>
      </c>
      <c r="E16" s="18">
        <f>C16*D16</f>
        <v>456</v>
      </c>
      <c r="F16" s="15" t="s">
        <v>96</v>
      </c>
    </row>
    <row r="17" spans="1:6" ht="45.75" customHeight="1" x14ac:dyDescent="0.25">
      <c r="A17" s="17" t="s">
        <v>97</v>
      </c>
      <c r="B17" s="15" t="s">
        <v>267</v>
      </c>
      <c r="C17" s="18">
        <v>13</v>
      </c>
      <c r="D17" s="19">
        <v>12</v>
      </c>
      <c r="E17" s="18">
        <f>C17*D17</f>
        <v>156</v>
      </c>
      <c r="F17" s="15" t="s">
        <v>99</v>
      </c>
    </row>
    <row r="18" spans="1:6" ht="20.100000000000001" customHeight="1" x14ac:dyDescent="0.25">
      <c r="A18" s="100" t="s">
        <v>100</v>
      </c>
      <c r="B18" s="78"/>
      <c r="C18" s="20">
        <f>SUM(C13:C17)</f>
        <v>1452</v>
      </c>
      <c r="D18" s="21" t="s">
        <v>83</v>
      </c>
      <c r="E18" s="22">
        <f>SUM(E13:E17)</f>
        <v>17424</v>
      </c>
      <c r="F18" s="23"/>
    </row>
    <row r="19" spans="1:6" ht="20.100000000000001" customHeight="1" x14ac:dyDescent="0.25">
      <c r="A19" s="101" t="s">
        <v>101</v>
      </c>
      <c r="B19" s="78"/>
      <c r="C19" s="78"/>
      <c r="D19" s="78"/>
      <c r="E19" s="78"/>
      <c r="F19" s="78"/>
    </row>
    <row r="20" spans="1:6" ht="45" customHeight="1" x14ac:dyDescent="0.25">
      <c r="A20" s="17" t="s">
        <v>102</v>
      </c>
      <c r="B20" s="15" t="s">
        <v>103</v>
      </c>
      <c r="C20" s="18">
        <v>260</v>
      </c>
      <c r="D20" s="19">
        <v>12</v>
      </c>
      <c r="E20" s="18">
        <f>C20*D20</f>
        <v>3120</v>
      </c>
      <c r="F20" s="15" t="s">
        <v>104</v>
      </c>
    </row>
    <row r="21" spans="1:6" ht="48" customHeight="1" x14ac:dyDescent="0.25">
      <c r="A21" s="17" t="s">
        <v>105</v>
      </c>
      <c r="B21" s="15" t="s">
        <v>106</v>
      </c>
      <c r="C21" s="18">
        <v>195</v>
      </c>
      <c r="D21" s="19">
        <v>12</v>
      </c>
      <c r="E21" s="18">
        <f>C21*D21</f>
        <v>2340</v>
      </c>
      <c r="F21" s="15" t="s">
        <v>107</v>
      </c>
    </row>
    <row r="22" spans="1:6" ht="41.25" customHeight="1" x14ac:dyDescent="0.25">
      <c r="A22" s="17" t="s">
        <v>108</v>
      </c>
      <c r="B22" s="15" t="s">
        <v>109</v>
      </c>
      <c r="C22" s="18">
        <v>130</v>
      </c>
      <c r="D22" s="19">
        <v>12</v>
      </c>
      <c r="E22" s="18">
        <f>C22*D22</f>
        <v>1560</v>
      </c>
      <c r="F22" s="15" t="s">
        <v>110</v>
      </c>
    </row>
    <row r="23" spans="1:6" ht="43.5" customHeight="1" x14ac:dyDescent="0.25">
      <c r="A23" s="17" t="s">
        <v>111</v>
      </c>
      <c r="B23" s="15" t="s">
        <v>112</v>
      </c>
      <c r="C23" s="18">
        <v>72</v>
      </c>
      <c r="D23" s="19">
        <v>12</v>
      </c>
      <c r="E23" s="18">
        <f>C23*D23</f>
        <v>864</v>
      </c>
      <c r="F23" s="15" t="s">
        <v>113</v>
      </c>
    </row>
    <row r="24" spans="1:6" ht="20.100000000000001" customHeight="1" x14ac:dyDescent="0.25">
      <c r="A24" s="100" t="s">
        <v>114</v>
      </c>
      <c r="B24" s="78"/>
      <c r="C24" s="20">
        <f>SUM(C20:C23)</f>
        <v>657</v>
      </c>
      <c r="D24" s="21" t="s">
        <v>83</v>
      </c>
      <c r="E24" s="22">
        <f>SUM(E20:E23)</f>
        <v>7884</v>
      </c>
      <c r="F24" s="23"/>
    </row>
    <row r="25" spans="1:6" ht="20.100000000000001" customHeight="1" x14ac:dyDescent="0.25">
      <c r="A25" s="101" t="s">
        <v>115</v>
      </c>
      <c r="B25" s="78"/>
      <c r="C25" s="78"/>
      <c r="D25" s="78"/>
      <c r="E25" s="78"/>
      <c r="F25" s="78"/>
    </row>
    <row r="26" spans="1:6" ht="47.25" customHeight="1" x14ac:dyDescent="0.25">
      <c r="A26" s="17" t="s">
        <v>116</v>
      </c>
      <c r="B26" s="15" t="s">
        <v>117</v>
      </c>
      <c r="C26" s="18">
        <v>361</v>
      </c>
      <c r="D26" s="19">
        <v>12</v>
      </c>
      <c r="E26" s="18">
        <f t="shared" ref="E26:E32" si="0">C26*D26</f>
        <v>4332</v>
      </c>
      <c r="F26" s="15" t="s">
        <v>118</v>
      </c>
    </row>
    <row r="27" spans="1:6" ht="52.5" customHeight="1" x14ac:dyDescent="0.25">
      <c r="A27" s="17" t="s">
        <v>119</v>
      </c>
      <c r="B27" s="15" t="s">
        <v>120</v>
      </c>
      <c r="C27" s="18">
        <v>520</v>
      </c>
      <c r="D27" s="19">
        <v>12</v>
      </c>
      <c r="E27" s="18">
        <f t="shared" si="0"/>
        <v>6240</v>
      </c>
      <c r="F27" s="15" t="s">
        <v>121</v>
      </c>
    </row>
    <row r="28" spans="1:6" ht="45.75" customHeight="1" x14ac:dyDescent="0.25">
      <c r="A28" s="17" t="s">
        <v>122</v>
      </c>
      <c r="B28" s="15" t="s">
        <v>123</v>
      </c>
      <c r="C28" s="18">
        <v>98</v>
      </c>
      <c r="D28" s="19">
        <v>12</v>
      </c>
      <c r="E28" s="18">
        <f t="shared" si="0"/>
        <v>1176</v>
      </c>
      <c r="F28" s="15" t="s">
        <v>124</v>
      </c>
    </row>
    <row r="29" spans="1:6" ht="48" customHeight="1" x14ac:dyDescent="0.25">
      <c r="A29" s="17" t="s">
        <v>125</v>
      </c>
      <c r="B29" s="15" t="s">
        <v>268</v>
      </c>
      <c r="C29" s="18">
        <v>390</v>
      </c>
      <c r="D29" s="19">
        <v>12</v>
      </c>
      <c r="E29" s="18">
        <f t="shared" si="0"/>
        <v>4680</v>
      </c>
      <c r="F29" s="15" t="s">
        <v>127</v>
      </c>
    </row>
    <row r="30" spans="1:6" ht="64.5" customHeight="1" x14ac:dyDescent="0.25">
      <c r="A30" s="17" t="s">
        <v>128</v>
      </c>
      <c r="B30" s="15" t="s">
        <v>129</v>
      </c>
      <c r="C30" s="18">
        <v>195</v>
      </c>
      <c r="D30" s="19">
        <v>12</v>
      </c>
      <c r="E30" s="18">
        <f t="shared" si="0"/>
        <v>2340</v>
      </c>
      <c r="F30" s="15" t="s">
        <v>130</v>
      </c>
    </row>
    <row r="31" spans="1:6" ht="51.75" customHeight="1" x14ac:dyDescent="0.25">
      <c r="A31" s="17" t="s">
        <v>131</v>
      </c>
      <c r="B31" s="15" t="s">
        <v>132</v>
      </c>
      <c r="C31" s="18">
        <v>130</v>
      </c>
      <c r="D31" s="19">
        <v>12</v>
      </c>
      <c r="E31" s="18">
        <f t="shared" si="0"/>
        <v>1560</v>
      </c>
      <c r="F31" s="15" t="s">
        <v>133</v>
      </c>
    </row>
    <row r="32" spans="1:6" ht="53.25" customHeight="1" x14ac:dyDescent="0.25">
      <c r="A32" s="17" t="s">
        <v>134</v>
      </c>
      <c r="B32" s="15" t="s">
        <v>135</v>
      </c>
      <c r="C32" s="18">
        <v>98</v>
      </c>
      <c r="D32" s="19">
        <v>12</v>
      </c>
      <c r="E32" s="18">
        <f t="shared" si="0"/>
        <v>1176</v>
      </c>
      <c r="F32" s="15" t="s">
        <v>136</v>
      </c>
    </row>
    <row r="33" spans="1:6" ht="20.100000000000001" customHeight="1" x14ac:dyDescent="0.25">
      <c r="A33" s="100" t="s">
        <v>137</v>
      </c>
      <c r="B33" s="78"/>
      <c r="C33" s="20">
        <f>SUM(C26:C32)</f>
        <v>1792</v>
      </c>
      <c r="D33" s="21" t="s">
        <v>83</v>
      </c>
      <c r="E33" s="22">
        <f>SUM(E26:E32)</f>
        <v>21504</v>
      </c>
      <c r="F33" s="23"/>
    </row>
    <row r="34" spans="1:6" ht="20.100000000000001" customHeight="1" x14ac:dyDescent="0.25">
      <c r="A34" s="101" t="s">
        <v>138</v>
      </c>
      <c r="B34" s="78"/>
      <c r="C34" s="78"/>
      <c r="D34" s="78"/>
      <c r="E34" s="78"/>
      <c r="F34" s="78"/>
    </row>
    <row r="35" spans="1:6" ht="55.5" customHeight="1" x14ac:dyDescent="0.25">
      <c r="A35" s="17" t="s">
        <v>139</v>
      </c>
      <c r="B35" s="15" t="s">
        <v>269</v>
      </c>
      <c r="C35" s="18">
        <v>1189</v>
      </c>
      <c r="D35" s="19">
        <v>12</v>
      </c>
      <c r="E35" s="18">
        <f>C35*D35</f>
        <v>14268</v>
      </c>
      <c r="F35" s="15" t="s">
        <v>141</v>
      </c>
    </row>
    <row r="36" spans="1:6" ht="49.5" customHeight="1" x14ac:dyDescent="0.25">
      <c r="A36" s="17" t="s">
        <v>142</v>
      </c>
      <c r="B36" s="15" t="s">
        <v>143</v>
      </c>
      <c r="C36" s="18">
        <v>702</v>
      </c>
      <c r="D36" s="19">
        <v>12</v>
      </c>
      <c r="E36" s="18">
        <f>C36*D36</f>
        <v>8424</v>
      </c>
      <c r="F36" s="15" t="s">
        <v>144</v>
      </c>
    </row>
    <row r="37" spans="1:6" ht="52.5" customHeight="1" x14ac:dyDescent="0.25">
      <c r="A37" s="17" t="s">
        <v>145</v>
      </c>
      <c r="B37" s="15" t="s">
        <v>146</v>
      </c>
      <c r="C37" s="18">
        <v>130</v>
      </c>
      <c r="D37" s="19">
        <v>12</v>
      </c>
      <c r="E37" s="18">
        <f>C37*D37</f>
        <v>1560</v>
      </c>
      <c r="F37" s="15" t="s">
        <v>147</v>
      </c>
    </row>
    <row r="38" spans="1:6" ht="20.100000000000001" customHeight="1" x14ac:dyDescent="0.25">
      <c r="A38" s="100" t="s">
        <v>148</v>
      </c>
      <c r="B38" s="78"/>
      <c r="C38" s="20">
        <f>SUM(C35:C37)</f>
        <v>2021</v>
      </c>
      <c r="D38" s="21" t="s">
        <v>83</v>
      </c>
      <c r="E38" s="22">
        <f>SUM(E35:E37)</f>
        <v>24252</v>
      </c>
      <c r="F38" s="23"/>
    </row>
    <row r="39" spans="1:6" ht="20.100000000000001" customHeight="1" x14ac:dyDescent="0.25">
      <c r="A39" s="101" t="s">
        <v>149</v>
      </c>
      <c r="B39" s="78"/>
      <c r="C39" s="78"/>
      <c r="D39" s="78"/>
      <c r="E39" s="78"/>
      <c r="F39" s="78"/>
    </row>
    <row r="40" spans="1:6" ht="60" customHeight="1" x14ac:dyDescent="0.25">
      <c r="A40" s="17" t="s">
        <v>150</v>
      </c>
      <c r="B40" s="15" t="s">
        <v>151</v>
      </c>
      <c r="C40" s="18">
        <v>990</v>
      </c>
      <c r="D40" s="19">
        <v>12</v>
      </c>
      <c r="E40" s="18">
        <f>C40*D40</f>
        <v>11880</v>
      </c>
      <c r="F40" s="15" t="s">
        <v>152</v>
      </c>
    </row>
    <row r="41" spans="1:6" ht="54" customHeight="1" x14ac:dyDescent="0.25">
      <c r="A41" s="17" t="s">
        <v>153</v>
      </c>
      <c r="B41" s="15" t="s">
        <v>154</v>
      </c>
      <c r="C41" s="18">
        <v>115</v>
      </c>
      <c r="D41" s="19">
        <v>12</v>
      </c>
      <c r="E41" s="18">
        <f>C41*D41</f>
        <v>1380</v>
      </c>
      <c r="F41" s="15" t="s">
        <v>155</v>
      </c>
    </row>
    <row r="42" spans="1:6" ht="52.5" customHeight="1" x14ac:dyDescent="0.25">
      <c r="A42" s="17" t="s">
        <v>156</v>
      </c>
      <c r="B42" s="15" t="s">
        <v>157</v>
      </c>
      <c r="C42" s="18">
        <v>65</v>
      </c>
      <c r="D42" s="19">
        <v>12</v>
      </c>
      <c r="E42" s="18">
        <f>C42*D42</f>
        <v>780</v>
      </c>
      <c r="F42" s="15" t="s">
        <v>158</v>
      </c>
    </row>
    <row r="43" spans="1:6" ht="45" customHeight="1" x14ac:dyDescent="0.25">
      <c r="A43" s="17" t="s">
        <v>159</v>
      </c>
      <c r="B43" s="15" t="s">
        <v>160</v>
      </c>
      <c r="C43" s="18">
        <v>52</v>
      </c>
      <c r="D43" s="19">
        <v>12</v>
      </c>
      <c r="E43" s="18">
        <f>C43*D43</f>
        <v>624</v>
      </c>
      <c r="F43" s="15" t="s">
        <v>161</v>
      </c>
    </row>
    <row r="44" spans="1:6" ht="20.100000000000001" customHeight="1" x14ac:dyDescent="0.25">
      <c r="A44" s="100" t="s">
        <v>162</v>
      </c>
      <c r="B44" s="78"/>
      <c r="C44" s="20">
        <f>SUM(C40:C43)</f>
        <v>1222</v>
      </c>
      <c r="D44" s="21" t="s">
        <v>83</v>
      </c>
      <c r="E44" s="22">
        <f>SUM(E40:E43)</f>
        <v>14664</v>
      </c>
      <c r="F44" s="23"/>
    </row>
    <row r="45" spans="1:6" ht="20.100000000000001" customHeight="1" x14ac:dyDescent="0.25">
      <c r="A45" s="101" t="s">
        <v>163</v>
      </c>
      <c r="B45" s="78"/>
      <c r="C45" s="78"/>
      <c r="D45" s="78"/>
      <c r="E45" s="78"/>
      <c r="F45" s="78"/>
    </row>
    <row r="46" spans="1:6" ht="130.5" customHeight="1" x14ac:dyDescent="0.25">
      <c r="A46" s="17" t="s">
        <v>164</v>
      </c>
      <c r="B46" s="15" t="s">
        <v>270</v>
      </c>
      <c r="C46" s="18">
        <v>122</v>
      </c>
      <c r="D46" s="19">
        <v>12</v>
      </c>
      <c r="E46" s="18">
        <f t="shared" ref="E46:E51" si="1">C46*D46</f>
        <v>1464</v>
      </c>
      <c r="F46" s="15" t="s">
        <v>166</v>
      </c>
    </row>
    <row r="47" spans="1:6" ht="112.5" customHeight="1" x14ac:dyDescent="0.25">
      <c r="A47" s="17" t="s">
        <v>167</v>
      </c>
      <c r="B47" s="15" t="s">
        <v>168</v>
      </c>
      <c r="C47" s="18">
        <v>252</v>
      </c>
      <c r="D47" s="19">
        <v>12</v>
      </c>
      <c r="E47" s="18">
        <f t="shared" si="1"/>
        <v>3024</v>
      </c>
      <c r="F47" s="15" t="s">
        <v>169</v>
      </c>
    </row>
    <row r="48" spans="1:6" ht="93.75" customHeight="1" x14ac:dyDescent="0.25">
      <c r="A48" s="17" t="s">
        <v>170</v>
      </c>
      <c r="B48" s="15" t="s">
        <v>171</v>
      </c>
      <c r="C48" s="18">
        <v>366</v>
      </c>
      <c r="D48" s="19">
        <v>12</v>
      </c>
      <c r="E48" s="18">
        <f t="shared" si="1"/>
        <v>4392</v>
      </c>
      <c r="F48" s="15" t="s">
        <v>172</v>
      </c>
    </row>
    <row r="49" spans="1:6" ht="84" customHeight="1" x14ac:dyDescent="0.25">
      <c r="A49" s="17" t="s">
        <v>173</v>
      </c>
      <c r="B49" s="15" t="s">
        <v>174</v>
      </c>
      <c r="C49" s="18">
        <v>130</v>
      </c>
      <c r="D49" s="19">
        <v>12</v>
      </c>
      <c r="E49" s="18">
        <f t="shared" si="1"/>
        <v>1560</v>
      </c>
      <c r="F49" s="15" t="s">
        <v>175</v>
      </c>
    </row>
    <row r="50" spans="1:6" ht="57" customHeight="1" x14ac:dyDescent="0.25">
      <c r="A50" s="17" t="s">
        <v>176</v>
      </c>
      <c r="B50" s="15" t="s">
        <v>177</v>
      </c>
      <c r="C50" s="18">
        <v>98</v>
      </c>
      <c r="D50" s="19">
        <v>12</v>
      </c>
      <c r="E50" s="18">
        <f t="shared" si="1"/>
        <v>1176</v>
      </c>
      <c r="F50" s="15" t="s">
        <v>178</v>
      </c>
    </row>
    <row r="51" spans="1:6" ht="18" customHeight="1" x14ac:dyDescent="0.25">
      <c r="A51" s="17" t="s">
        <v>179</v>
      </c>
      <c r="B51" s="15" t="s">
        <v>180</v>
      </c>
      <c r="C51" s="18">
        <v>195</v>
      </c>
      <c r="D51" s="19">
        <v>12</v>
      </c>
      <c r="E51" s="18">
        <f t="shared" si="1"/>
        <v>2340</v>
      </c>
      <c r="F51" s="15" t="s">
        <v>181</v>
      </c>
    </row>
    <row r="52" spans="1:6" ht="20.100000000000001" customHeight="1" x14ac:dyDescent="0.25">
      <c r="A52" s="100" t="s">
        <v>182</v>
      </c>
      <c r="B52" s="78"/>
      <c r="C52" s="20">
        <f>SUM(C46:C51)</f>
        <v>1163</v>
      </c>
      <c r="D52" s="21" t="s">
        <v>83</v>
      </c>
      <c r="E52" s="22">
        <f>SUM(E46:E51)</f>
        <v>13956</v>
      </c>
      <c r="F52" s="23"/>
    </row>
    <row r="53" spans="1:6" ht="20.100000000000001" customHeight="1" x14ac:dyDescent="0.25">
      <c r="A53" s="101" t="s">
        <v>183</v>
      </c>
      <c r="B53" s="78"/>
      <c r="C53" s="78"/>
      <c r="D53" s="78"/>
      <c r="E53" s="78"/>
      <c r="F53" s="78"/>
    </row>
    <row r="54" spans="1:6" ht="70.5" customHeight="1" x14ac:dyDescent="0.25">
      <c r="A54" s="17" t="s">
        <v>184</v>
      </c>
      <c r="B54" s="15" t="s">
        <v>271</v>
      </c>
      <c r="C54" s="18">
        <v>20</v>
      </c>
      <c r="D54" s="19">
        <v>12</v>
      </c>
      <c r="E54" s="18">
        <f>C54*D54</f>
        <v>240</v>
      </c>
      <c r="F54" s="15" t="s">
        <v>186</v>
      </c>
    </row>
    <row r="55" spans="1:6" ht="72" customHeight="1" x14ac:dyDescent="0.25">
      <c r="A55" s="17" t="s">
        <v>187</v>
      </c>
      <c r="B55" s="15" t="s">
        <v>188</v>
      </c>
      <c r="C55" s="18">
        <v>260</v>
      </c>
      <c r="D55" s="19">
        <v>12</v>
      </c>
      <c r="E55" s="18">
        <f>C55*D55</f>
        <v>3120</v>
      </c>
      <c r="F55" s="15" t="s">
        <v>189</v>
      </c>
    </row>
    <row r="56" spans="1:6" ht="57" customHeight="1" x14ac:dyDescent="0.25">
      <c r="A56" s="17" t="s">
        <v>190</v>
      </c>
      <c r="B56" s="15" t="s">
        <v>191</v>
      </c>
      <c r="C56" s="18">
        <v>4</v>
      </c>
      <c r="D56" s="19">
        <v>12</v>
      </c>
      <c r="E56" s="18">
        <f>C56*D56</f>
        <v>48</v>
      </c>
      <c r="F56" s="15" t="s">
        <v>192</v>
      </c>
    </row>
    <row r="57" spans="1:6" ht="20.100000000000001" customHeight="1" x14ac:dyDescent="0.25">
      <c r="A57" s="100" t="s">
        <v>193</v>
      </c>
      <c r="B57" s="78"/>
      <c r="C57" s="20">
        <f>SUM(C54:C56)</f>
        <v>284</v>
      </c>
      <c r="D57" s="21" t="s">
        <v>83</v>
      </c>
      <c r="E57" s="22">
        <f>SUM(E54:E56)</f>
        <v>3408</v>
      </c>
      <c r="F57" s="23"/>
    </row>
    <row r="58" spans="1:6" ht="20.100000000000001" customHeight="1" x14ac:dyDescent="0.25">
      <c r="A58" s="101" t="s">
        <v>194</v>
      </c>
      <c r="B58" s="78"/>
      <c r="C58" s="78"/>
      <c r="D58" s="78"/>
      <c r="E58" s="78"/>
      <c r="F58" s="78"/>
    </row>
    <row r="59" spans="1:6" ht="57" customHeight="1" x14ac:dyDescent="0.25">
      <c r="A59" s="17" t="s">
        <v>195</v>
      </c>
      <c r="B59" s="15" t="s">
        <v>196</v>
      </c>
      <c r="C59" s="18">
        <v>300</v>
      </c>
      <c r="D59" s="19">
        <v>12</v>
      </c>
      <c r="E59" s="18">
        <f>C59*D59</f>
        <v>3600</v>
      </c>
      <c r="F59" s="15" t="s">
        <v>197</v>
      </c>
    </row>
    <row r="60" spans="1:6" ht="56.25" customHeight="1" x14ac:dyDescent="0.25">
      <c r="A60" s="17" t="s">
        <v>198</v>
      </c>
      <c r="B60" s="15" t="s">
        <v>199</v>
      </c>
      <c r="C60" s="18">
        <v>625</v>
      </c>
      <c r="D60" s="19">
        <v>12</v>
      </c>
      <c r="E60" s="18">
        <f>C60*D60</f>
        <v>7500</v>
      </c>
      <c r="F60" s="15" t="s">
        <v>200</v>
      </c>
    </row>
    <row r="61" spans="1:6" ht="20.100000000000001" customHeight="1" x14ac:dyDescent="0.25">
      <c r="A61" s="100" t="s">
        <v>201</v>
      </c>
      <c r="B61" s="78"/>
      <c r="C61" s="20">
        <f>SUM(C59:C60)</f>
        <v>925</v>
      </c>
      <c r="D61" s="21" t="s">
        <v>83</v>
      </c>
      <c r="E61" s="22">
        <f>SUM(E59:E60)</f>
        <v>11100</v>
      </c>
      <c r="F61" s="23"/>
    </row>
    <row r="62" spans="1:6" ht="20.100000000000001" customHeight="1" x14ac:dyDescent="0.25">
      <c r="A62" s="101" t="s">
        <v>202</v>
      </c>
      <c r="B62" s="78"/>
      <c r="C62" s="78"/>
      <c r="D62" s="78"/>
      <c r="E62" s="78"/>
      <c r="F62" s="78"/>
    </row>
    <row r="63" spans="1:6" ht="118.5" customHeight="1" x14ac:dyDescent="0.25">
      <c r="A63" s="17" t="s">
        <v>203</v>
      </c>
      <c r="B63" s="15" t="s">
        <v>204</v>
      </c>
      <c r="C63" s="18">
        <v>1250</v>
      </c>
      <c r="D63" s="19">
        <v>12</v>
      </c>
      <c r="E63" s="18">
        <f>C63*D63</f>
        <v>15000</v>
      </c>
      <c r="F63" s="15" t="s">
        <v>205</v>
      </c>
    </row>
    <row r="64" spans="1:6" ht="111.75" customHeight="1" x14ac:dyDescent="0.25">
      <c r="A64" s="17" t="s">
        <v>206</v>
      </c>
      <c r="B64" s="15" t="s">
        <v>207</v>
      </c>
      <c r="C64" s="18">
        <v>833</v>
      </c>
      <c r="D64" s="19">
        <v>12</v>
      </c>
      <c r="E64" s="18">
        <f>C64*D64</f>
        <v>9996</v>
      </c>
      <c r="F64" s="15" t="s">
        <v>208</v>
      </c>
    </row>
    <row r="65" spans="1:6" ht="51" customHeight="1" x14ac:dyDescent="0.25">
      <c r="A65" s="17" t="s">
        <v>209</v>
      </c>
      <c r="B65" s="15" t="s">
        <v>210</v>
      </c>
      <c r="C65" s="18">
        <v>333</v>
      </c>
      <c r="D65" s="19">
        <v>12</v>
      </c>
      <c r="E65" s="18">
        <f>C65*D65</f>
        <v>3996</v>
      </c>
      <c r="F65" s="15" t="s">
        <v>211</v>
      </c>
    </row>
    <row r="66" spans="1:6" ht="20.100000000000001" customHeight="1" x14ac:dyDescent="0.25">
      <c r="A66" s="100" t="s">
        <v>212</v>
      </c>
      <c r="B66" s="78"/>
      <c r="C66" s="20">
        <f>SUM(C63:C65)</f>
        <v>2416</v>
      </c>
      <c r="D66" s="21" t="s">
        <v>83</v>
      </c>
      <c r="E66" s="22">
        <f>SUM(E63:E65)</f>
        <v>28992</v>
      </c>
      <c r="F66" s="23"/>
    </row>
    <row r="67" spans="1:6" ht="20.100000000000001" customHeight="1" x14ac:dyDescent="0.25">
      <c r="A67" s="101" t="s">
        <v>213</v>
      </c>
      <c r="B67" s="78"/>
      <c r="C67" s="78"/>
      <c r="D67" s="78"/>
      <c r="E67" s="78"/>
      <c r="F67" s="78"/>
    </row>
    <row r="68" spans="1:6" ht="105.75" customHeight="1" x14ac:dyDescent="0.25">
      <c r="A68" s="17" t="s">
        <v>214</v>
      </c>
      <c r="B68" s="15" t="s">
        <v>215</v>
      </c>
      <c r="C68" s="18">
        <v>975</v>
      </c>
      <c r="D68" s="19">
        <v>12</v>
      </c>
      <c r="E68" s="18">
        <f>C68*D68</f>
        <v>11700</v>
      </c>
      <c r="F68" s="15" t="s">
        <v>216</v>
      </c>
    </row>
    <row r="69" spans="1:6" ht="94.5" customHeight="1" x14ac:dyDescent="0.25">
      <c r="A69" s="17" t="s">
        <v>217</v>
      </c>
      <c r="B69" s="15" t="s">
        <v>218</v>
      </c>
      <c r="C69" s="18">
        <v>520</v>
      </c>
      <c r="D69" s="19">
        <v>12</v>
      </c>
      <c r="E69" s="18">
        <f>C69*D69</f>
        <v>6240</v>
      </c>
      <c r="F69" s="15" t="s">
        <v>219</v>
      </c>
    </row>
    <row r="70" spans="1:6" ht="97.5" customHeight="1" x14ac:dyDescent="0.25">
      <c r="A70" s="17" t="s">
        <v>220</v>
      </c>
      <c r="B70" s="15" t="s">
        <v>221</v>
      </c>
      <c r="C70" s="18">
        <v>3900</v>
      </c>
      <c r="D70" s="19">
        <v>12</v>
      </c>
      <c r="E70" s="18">
        <f>C70*D70</f>
        <v>46800</v>
      </c>
      <c r="F70" s="15" t="s">
        <v>222</v>
      </c>
    </row>
    <row r="71" spans="1:6" ht="93.75" customHeight="1" x14ac:dyDescent="0.25">
      <c r="A71" s="17" t="s">
        <v>223</v>
      </c>
      <c r="B71" s="15" t="s">
        <v>224</v>
      </c>
      <c r="C71" s="18">
        <v>325</v>
      </c>
      <c r="D71" s="19">
        <v>12</v>
      </c>
      <c r="E71" s="18">
        <f>C71*D71</f>
        <v>3900</v>
      </c>
      <c r="F71" s="15" t="s">
        <v>225</v>
      </c>
    </row>
    <row r="72" spans="1:6" ht="20.100000000000001" customHeight="1" x14ac:dyDescent="0.25">
      <c r="A72" s="100" t="s">
        <v>226</v>
      </c>
      <c r="B72" s="78"/>
      <c r="C72" s="20">
        <f>SUM(C68:C71)</f>
        <v>5720</v>
      </c>
      <c r="D72" s="21" t="s">
        <v>83</v>
      </c>
      <c r="E72" s="22">
        <f>SUM(E68:E71)</f>
        <v>68640</v>
      </c>
      <c r="F72" s="23"/>
    </row>
    <row r="73" spans="1:6" ht="20.100000000000001" customHeight="1" x14ac:dyDescent="0.25">
      <c r="A73" s="101" t="s">
        <v>227</v>
      </c>
      <c r="B73" s="78"/>
      <c r="C73" s="78"/>
      <c r="D73" s="78"/>
      <c r="E73" s="78"/>
      <c r="F73" s="78"/>
    </row>
    <row r="74" spans="1:6" ht="114" customHeight="1" x14ac:dyDescent="0.25">
      <c r="A74" s="17" t="s">
        <v>228</v>
      </c>
      <c r="B74" s="15" t="s">
        <v>229</v>
      </c>
      <c r="C74" s="18">
        <v>15000</v>
      </c>
      <c r="D74" s="19">
        <v>12</v>
      </c>
      <c r="E74" s="18">
        <f>C74*D74</f>
        <v>180000</v>
      </c>
      <c r="F74" s="15" t="s">
        <v>230</v>
      </c>
    </row>
    <row r="75" spans="1:6" ht="90.75" customHeight="1" x14ac:dyDescent="0.25">
      <c r="A75" s="17" t="s">
        <v>231</v>
      </c>
      <c r="B75" s="15" t="s">
        <v>232</v>
      </c>
      <c r="C75" s="18">
        <v>9000</v>
      </c>
      <c r="D75" s="19">
        <v>12</v>
      </c>
      <c r="E75" s="18">
        <f>C75*D75</f>
        <v>108000</v>
      </c>
      <c r="F75" s="15" t="s">
        <v>233</v>
      </c>
    </row>
    <row r="76" spans="1:6" ht="108.75" customHeight="1" x14ac:dyDescent="0.25">
      <c r="A76" s="17" t="s">
        <v>234</v>
      </c>
      <c r="B76" s="15" t="s">
        <v>235</v>
      </c>
      <c r="C76" s="18">
        <v>2000</v>
      </c>
      <c r="D76" s="19">
        <v>12</v>
      </c>
      <c r="E76" s="18">
        <f>C76*D76</f>
        <v>24000</v>
      </c>
      <c r="F76" s="15" t="s">
        <v>236</v>
      </c>
    </row>
    <row r="77" spans="1:6" ht="56.25" customHeight="1" x14ac:dyDescent="0.25">
      <c r="A77" s="17" t="s">
        <v>237</v>
      </c>
      <c r="B77" s="15" t="s">
        <v>238</v>
      </c>
      <c r="C77" s="18">
        <v>1950</v>
      </c>
      <c r="D77" s="19">
        <v>12</v>
      </c>
      <c r="E77" s="18">
        <f>C77*D77</f>
        <v>23400</v>
      </c>
      <c r="F77" s="15" t="s">
        <v>239</v>
      </c>
    </row>
    <row r="78" spans="1:6" ht="20.100000000000001" customHeight="1" x14ac:dyDescent="0.25">
      <c r="A78" s="100" t="s">
        <v>240</v>
      </c>
      <c r="B78" s="78"/>
      <c r="C78" s="20">
        <f>SUM(C74:C77)</f>
        <v>27950</v>
      </c>
      <c r="D78" s="21" t="s">
        <v>83</v>
      </c>
      <c r="E78" s="22">
        <f>SUM(E74:E77)</f>
        <v>335400</v>
      </c>
      <c r="F78" s="23"/>
    </row>
    <row r="79" spans="1:6" ht="20.100000000000001" customHeight="1" x14ac:dyDescent="0.25">
      <c r="A79" s="101" t="s">
        <v>241</v>
      </c>
      <c r="B79" s="78"/>
      <c r="C79" s="78"/>
      <c r="D79" s="78"/>
      <c r="E79" s="78"/>
      <c r="F79" s="78"/>
    </row>
    <row r="80" spans="1:6" ht="58.5" customHeight="1" x14ac:dyDescent="0.25">
      <c r="A80" s="17" t="s">
        <v>242</v>
      </c>
      <c r="B80" s="15" t="s">
        <v>243</v>
      </c>
      <c r="C80" s="18">
        <v>37</v>
      </c>
      <c r="D80" s="19">
        <v>12</v>
      </c>
      <c r="E80" s="18">
        <f>C80*D80</f>
        <v>444</v>
      </c>
      <c r="F80" s="15" t="s">
        <v>244</v>
      </c>
    </row>
    <row r="81" spans="1:6" ht="53.25" customHeight="1" x14ac:dyDescent="0.25">
      <c r="A81" s="17" t="s">
        <v>245</v>
      </c>
      <c r="B81" s="15" t="s">
        <v>272</v>
      </c>
      <c r="C81" s="18">
        <v>325</v>
      </c>
      <c r="D81" s="19">
        <v>12</v>
      </c>
      <c r="E81" s="18">
        <f>C81*D81</f>
        <v>3900</v>
      </c>
      <c r="F81" s="15" t="s">
        <v>247</v>
      </c>
    </row>
    <row r="82" spans="1:6" ht="112.5" customHeight="1" x14ac:dyDescent="0.25">
      <c r="A82" s="17" t="s">
        <v>248</v>
      </c>
      <c r="B82" s="15" t="s">
        <v>249</v>
      </c>
      <c r="C82" s="18">
        <v>1050</v>
      </c>
      <c r="D82" s="19">
        <v>12</v>
      </c>
      <c r="E82" s="18">
        <f>C82*D82</f>
        <v>12600</v>
      </c>
      <c r="F82" s="15" t="s">
        <v>250</v>
      </c>
    </row>
    <row r="83" spans="1:6" ht="105.75" customHeight="1" x14ac:dyDescent="0.25">
      <c r="A83" s="17" t="s">
        <v>251</v>
      </c>
      <c r="B83" s="15" t="s">
        <v>252</v>
      </c>
      <c r="C83" s="18">
        <v>910</v>
      </c>
      <c r="D83" s="19">
        <v>12</v>
      </c>
      <c r="E83" s="18">
        <f>C83*D83</f>
        <v>10920</v>
      </c>
      <c r="F83" s="15" t="s">
        <v>253</v>
      </c>
    </row>
    <row r="84" spans="1:6" ht="72" x14ac:dyDescent="0.25">
      <c r="A84" s="17" t="s">
        <v>254</v>
      </c>
      <c r="B84" s="15" t="s">
        <v>255</v>
      </c>
      <c r="C84" s="18">
        <v>160</v>
      </c>
      <c r="D84" s="19">
        <v>12</v>
      </c>
      <c r="E84" s="18">
        <f>C84*D84</f>
        <v>1920</v>
      </c>
      <c r="F84" s="15" t="s">
        <v>256</v>
      </c>
    </row>
    <row r="85" spans="1:6" ht="20.100000000000001" customHeight="1" x14ac:dyDescent="0.25">
      <c r="A85" s="100" t="s">
        <v>257</v>
      </c>
      <c r="B85" s="78"/>
      <c r="C85" s="20">
        <f>SUM(C80:C84)</f>
        <v>2482</v>
      </c>
      <c r="D85" s="21" t="s">
        <v>83</v>
      </c>
      <c r="E85" s="22">
        <f>SUM(E80:E84)</f>
        <v>29784</v>
      </c>
      <c r="F85" s="23"/>
    </row>
    <row r="87" spans="1:6" ht="27.95" customHeight="1" x14ac:dyDescent="0.25">
      <c r="A87" s="102" t="s">
        <v>273</v>
      </c>
      <c r="B87" s="78"/>
      <c r="C87" s="24">
        <f>(E11+E18+E24+E33+E38+E44+E52+E57+E61+E66+E72+E78+E85)/12</f>
        <v>52559</v>
      </c>
      <c r="D87" s="25" t="s">
        <v>83</v>
      </c>
      <c r="E87" s="26">
        <f>E11+E18+E24+E33+E38+E44+E52+E57+E61+E66+E72+E78+E85</f>
        <v>630708</v>
      </c>
      <c r="F87" s="27" t="s">
        <v>274</v>
      </c>
    </row>
    <row r="200" spans="3:3" x14ac:dyDescent="0.25">
      <c r="C200" s="28">
        <f>E87</f>
        <v>630708</v>
      </c>
    </row>
  </sheetData>
  <mergeCells count="29">
    <mergeCell ref="A1:F1"/>
    <mergeCell ref="A45:F45"/>
    <mergeCell ref="A79:F79"/>
    <mergeCell ref="A44:B44"/>
    <mergeCell ref="A25:F25"/>
    <mergeCell ref="A2:F2"/>
    <mergeCell ref="A78:B78"/>
    <mergeCell ref="A5:F5"/>
    <mergeCell ref="A66:B66"/>
    <mergeCell ref="A62:F62"/>
    <mergeCell ref="A18:B18"/>
    <mergeCell ref="A53:F53"/>
    <mergeCell ref="A19:F19"/>
    <mergeCell ref="A57:B57"/>
    <mergeCell ref="A33:B33"/>
    <mergeCell ref="A67:F67"/>
    <mergeCell ref="A58:F58"/>
    <mergeCell ref="A34:F34"/>
    <mergeCell ref="A39:F39"/>
    <mergeCell ref="A73:F73"/>
    <mergeCell ref="A38:B38"/>
    <mergeCell ref="A24:B24"/>
    <mergeCell ref="A11:B11"/>
    <mergeCell ref="A12:F12"/>
    <mergeCell ref="A61:B61"/>
    <mergeCell ref="A87:B87"/>
    <mergeCell ref="A85:B85"/>
    <mergeCell ref="A72:B72"/>
    <mergeCell ref="A52:B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9.140625" defaultRowHeight="15" x14ac:dyDescent="0.25"/>
  <cols>
    <col min="1" max="1" width="44" customWidth="1"/>
    <col min="2" max="2" width="47.28515625" customWidth="1"/>
    <col min="3" max="5" width="16" customWidth="1"/>
    <col min="6" max="6" width="35" customWidth="1"/>
  </cols>
  <sheetData>
    <row r="1" spans="1:6" ht="39.950000000000003" customHeight="1" x14ac:dyDescent="0.25">
      <c r="A1" s="104" t="s">
        <v>275</v>
      </c>
      <c r="B1" s="78"/>
      <c r="C1" s="78"/>
      <c r="D1" s="78"/>
      <c r="E1" s="78"/>
      <c r="F1" s="78"/>
    </row>
    <row r="2" spans="1:6" ht="21.95" customHeight="1" x14ac:dyDescent="0.25">
      <c r="A2" s="103" t="s">
        <v>59</v>
      </c>
      <c r="B2" s="78"/>
      <c r="C2" s="78"/>
      <c r="D2" s="78"/>
      <c r="E2" s="78"/>
      <c r="F2" s="78"/>
    </row>
    <row r="3" spans="1:6" ht="20.100000000000001" customHeight="1" x14ac:dyDescent="0.25"/>
    <row r="4" spans="1:6" ht="20.100000000000001" customHeight="1" x14ac:dyDescent="0.25">
      <c r="A4" s="16" t="s">
        <v>60</v>
      </c>
      <c r="B4" s="16" t="s">
        <v>61</v>
      </c>
      <c r="C4" s="16" t="s">
        <v>62</v>
      </c>
      <c r="D4" s="16" t="s">
        <v>63</v>
      </c>
      <c r="E4" s="16" t="s">
        <v>64</v>
      </c>
      <c r="F4" s="16" t="s">
        <v>65</v>
      </c>
    </row>
    <row r="5" spans="1:6" ht="20.100000000000001" customHeight="1" x14ac:dyDescent="0.25">
      <c r="A5" s="101" t="s">
        <v>66</v>
      </c>
      <c r="B5" s="78"/>
      <c r="C5" s="78"/>
      <c r="D5" s="78"/>
      <c r="E5" s="78"/>
      <c r="F5" s="78"/>
    </row>
    <row r="6" spans="1:6" ht="50.25" customHeight="1" x14ac:dyDescent="0.25">
      <c r="A6" s="17" t="s">
        <v>67</v>
      </c>
      <c r="B6" s="15" t="s">
        <v>276</v>
      </c>
      <c r="C6" s="18">
        <v>307</v>
      </c>
      <c r="D6" s="19">
        <v>12</v>
      </c>
      <c r="E6" s="18">
        <f>C6*D6</f>
        <v>3684</v>
      </c>
      <c r="F6" s="15" t="s">
        <v>69</v>
      </c>
    </row>
    <row r="7" spans="1:6" ht="40.5" customHeight="1" x14ac:dyDescent="0.25">
      <c r="A7" s="17" t="s">
        <v>70</v>
      </c>
      <c r="B7" s="15" t="s">
        <v>277</v>
      </c>
      <c r="C7" s="18">
        <v>26</v>
      </c>
      <c r="D7" s="19">
        <v>12</v>
      </c>
      <c r="E7" s="18">
        <f>C7*D7</f>
        <v>312</v>
      </c>
      <c r="F7" s="15" t="s">
        <v>72</v>
      </c>
    </row>
    <row r="8" spans="1:6" ht="44.25" customHeight="1" x14ac:dyDescent="0.25">
      <c r="A8" s="17" t="s">
        <v>73</v>
      </c>
      <c r="B8" s="15" t="s">
        <v>278</v>
      </c>
      <c r="C8" s="18">
        <v>5875</v>
      </c>
      <c r="D8" s="19">
        <v>12</v>
      </c>
      <c r="E8" s="18">
        <f>C8*D8</f>
        <v>70500</v>
      </c>
      <c r="F8" s="15" t="s">
        <v>75</v>
      </c>
    </row>
    <row r="9" spans="1:6" ht="48" customHeight="1" x14ac:dyDescent="0.25">
      <c r="A9" s="17" t="s">
        <v>76</v>
      </c>
      <c r="B9" s="15" t="s">
        <v>77</v>
      </c>
      <c r="C9" s="18">
        <v>389</v>
      </c>
      <c r="D9" s="19">
        <v>12</v>
      </c>
      <c r="E9" s="18">
        <f>C9*D9</f>
        <v>4668</v>
      </c>
      <c r="F9" s="15" t="s">
        <v>78</v>
      </c>
    </row>
    <row r="10" spans="1:6" ht="56.25" customHeight="1" x14ac:dyDescent="0.25">
      <c r="A10" s="17" t="s">
        <v>79</v>
      </c>
      <c r="B10" s="15" t="s">
        <v>80</v>
      </c>
      <c r="C10" s="18">
        <v>80</v>
      </c>
      <c r="D10" s="19">
        <v>12</v>
      </c>
      <c r="E10" s="18">
        <f>C10*D10</f>
        <v>960</v>
      </c>
      <c r="F10" s="15" t="s">
        <v>81</v>
      </c>
    </row>
    <row r="11" spans="1:6" ht="20.100000000000001" customHeight="1" x14ac:dyDescent="0.25">
      <c r="A11" s="100" t="s">
        <v>82</v>
      </c>
      <c r="B11" s="78"/>
      <c r="C11" s="20">
        <f>SUM(C6:C10)</f>
        <v>6677</v>
      </c>
      <c r="D11" s="21" t="s">
        <v>83</v>
      </c>
      <c r="E11" s="22">
        <f>SUM(E6:E10)</f>
        <v>80124</v>
      </c>
      <c r="F11" s="23"/>
    </row>
    <row r="12" spans="1:6" ht="20.100000000000001" customHeight="1" x14ac:dyDescent="0.25">
      <c r="A12" s="101" t="s">
        <v>84</v>
      </c>
      <c r="B12" s="78"/>
      <c r="C12" s="78"/>
      <c r="D12" s="78"/>
      <c r="E12" s="78"/>
      <c r="F12" s="78"/>
    </row>
    <row r="13" spans="1:6" ht="73.5" customHeight="1" x14ac:dyDescent="0.25">
      <c r="A13" s="17" t="s">
        <v>85</v>
      </c>
      <c r="B13" s="15" t="s">
        <v>279</v>
      </c>
      <c r="C13" s="18">
        <v>3000</v>
      </c>
      <c r="D13" s="19">
        <v>12</v>
      </c>
      <c r="E13" s="18">
        <f>C13*D13</f>
        <v>36000</v>
      </c>
      <c r="F13" s="15" t="s">
        <v>87</v>
      </c>
    </row>
    <row r="14" spans="1:6" ht="54" customHeight="1" x14ac:dyDescent="0.25">
      <c r="A14" s="17" t="s">
        <v>88</v>
      </c>
      <c r="B14" s="15" t="s">
        <v>280</v>
      </c>
      <c r="C14" s="18">
        <v>225</v>
      </c>
      <c r="D14" s="19">
        <v>12</v>
      </c>
      <c r="E14" s="18">
        <f>C14*D14</f>
        <v>2700</v>
      </c>
      <c r="F14" s="15" t="s">
        <v>90</v>
      </c>
    </row>
    <row r="15" spans="1:6" ht="54.75" customHeight="1" x14ac:dyDescent="0.25">
      <c r="A15" s="17" t="s">
        <v>91</v>
      </c>
      <c r="B15" s="15" t="s">
        <v>281</v>
      </c>
      <c r="C15" s="18">
        <v>90</v>
      </c>
      <c r="D15" s="19">
        <v>12</v>
      </c>
      <c r="E15" s="18">
        <f>C15*D15</f>
        <v>1080</v>
      </c>
      <c r="F15" s="15" t="s">
        <v>93</v>
      </c>
    </row>
    <row r="16" spans="1:6" ht="41.25" customHeight="1" x14ac:dyDescent="0.25">
      <c r="A16" s="17" t="s">
        <v>94</v>
      </c>
      <c r="B16" s="15" t="s">
        <v>95</v>
      </c>
      <c r="C16" s="18">
        <v>90</v>
      </c>
      <c r="D16" s="19">
        <v>12</v>
      </c>
      <c r="E16" s="18">
        <f>C16*D16</f>
        <v>1080</v>
      </c>
      <c r="F16" s="15" t="s">
        <v>96</v>
      </c>
    </row>
    <row r="17" spans="1:6" ht="44.25" customHeight="1" x14ac:dyDescent="0.25">
      <c r="A17" s="17" t="s">
        <v>97</v>
      </c>
      <c r="B17" s="15" t="s">
        <v>282</v>
      </c>
      <c r="C17" s="18">
        <v>20</v>
      </c>
      <c r="D17" s="19">
        <v>12</v>
      </c>
      <c r="E17" s="18">
        <f>C17*D17</f>
        <v>240</v>
      </c>
      <c r="F17" s="15" t="s">
        <v>99</v>
      </c>
    </row>
    <row r="18" spans="1:6" ht="20.100000000000001" customHeight="1" x14ac:dyDescent="0.25">
      <c r="A18" s="100" t="s">
        <v>100</v>
      </c>
      <c r="B18" s="78"/>
      <c r="C18" s="20">
        <f>SUM(C13:C17)</f>
        <v>3425</v>
      </c>
      <c r="D18" s="21" t="s">
        <v>83</v>
      </c>
      <c r="E18" s="22">
        <f>SUM(E13:E17)</f>
        <v>41100</v>
      </c>
      <c r="F18" s="23"/>
    </row>
    <row r="19" spans="1:6" ht="20.100000000000001" customHeight="1" x14ac:dyDescent="0.25">
      <c r="A19" s="101" t="s">
        <v>101</v>
      </c>
      <c r="B19" s="78"/>
      <c r="C19" s="78"/>
      <c r="D19" s="78"/>
      <c r="E19" s="78"/>
      <c r="F19" s="78"/>
    </row>
    <row r="20" spans="1:6" ht="51" customHeight="1" x14ac:dyDescent="0.25">
      <c r="A20" s="17" t="s">
        <v>102</v>
      </c>
      <c r="B20" s="15" t="s">
        <v>103</v>
      </c>
      <c r="C20" s="18">
        <v>400</v>
      </c>
      <c r="D20" s="19">
        <v>12</v>
      </c>
      <c r="E20" s="18">
        <f>C20*D20</f>
        <v>4800</v>
      </c>
      <c r="F20" s="15" t="s">
        <v>104</v>
      </c>
    </row>
    <row r="21" spans="1:6" ht="58.5" customHeight="1" x14ac:dyDescent="0.25">
      <c r="A21" s="17" t="s">
        <v>105</v>
      </c>
      <c r="B21" s="15" t="s">
        <v>106</v>
      </c>
      <c r="C21" s="18">
        <v>300</v>
      </c>
      <c r="D21" s="19">
        <v>12</v>
      </c>
      <c r="E21" s="18">
        <f>C21*D21</f>
        <v>3600</v>
      </c>
      <c r="F21" s="15" t="s">
        <v>107</v>
      </c>
    </row>
    <row r="22" spans="1:6" ht="57.75" customHeight="1" x14ac:dyDescent="0.25">
      <c r="A22" s="17" t="s">
        <v>108</v>
      </c>
      <c r="B22" s="15" t="s">
        <v>109</v>
      </c>
      <c r="C22" s="18">
        <v>200</v>
      </c>
      <c r="D22" s="19">
        <v>12</v>
      </c>
      <c r="E22" s="18">
        <f>C22*D22</f>
        <v>2400</v>
      </c>
      <c r="F22" s="15" t="s">
        <v>110</v>
      </c>
    </row>
    <row r="23" spans="1:6" ht="69" customHeight="1" x14ac:dyDescent="0.25">
      <c r="A23" s="17" t="s">
        <v>111</v>
      </c>
      <c r="B23" s="15" t="s">
        <v>112</v>
      </c>
      <c r="C23" s="18">
        <v>72</v>
      </c>
      <c r="D23" s="19">
        <v>12</v>
      </c>
      <c r="E23" s="18">
        <f>C23*D23</f>
        <v>864</v>
      </c>
      <c r="F23" s="15" t="s">
        <v>113</v>
      </c>
    </row>
    <row r="24" spans="1:6" ht="20.100000000000001" customHeight="1" x14ac:dyDescent="0.25">
      <c r="A24" s="100" t="s">
        <v>114</v>
      </c>
      <c r="B24" s="78"/>
      <c r="C24" s="20">
        <f>SUM(C20:C23)</f>
        <v>972</v>
      </c>
      <c r="D24" s="21" t="s">
        <v>83</v>
      </c>
      <c r="E24" s="22">
        <f>SUM(E20:E23)</f>
        <v>11664</v>
      </c>
      <c r="F24" s="23"/>
    </row>
    <row r="25" spans="1:6" ht="20.100000000000001" customHeight="1" x14ac:dyDescent="0.25">
      <c r="A25" s="101" t="s">
        <v>115</v>
      </c>
      <c r="B25" s="78"/>
      <c r="C25" s="78"/>
      <c r="D25" s="78"/>
      <c r="E25" s="78"/>
      <c r="F25" s="78"/>
    </row>
    <row r="26" spans="1:6" ht="59.25" customHeight="1" x14ac:dyDescent="0.25">
      <c r="A26" s="17" t="s">
        <v>116</v>
      </c>
      <c r="B26" s="15" t="s">
        <v>117</v>
      </c>
      <c r="C26" s="18">
        <v>361</v>
      </c>
      <c r="D26" s="19">
        <v>12</v>
      </c>
      <c r="E26" s="18">
        <f t="shared" ref="E26:E32" si="0">C26*D26</f>
        <v>4332</v>
      </c>
      <c r="F26" s="15" t="s">
        <v>118</v>
      </c>
    </row>
    <row r="27" spans="1:6" ht="42.75" customHeight="1" x14ac:dyDescent="0.25">
      <c r="A27" s="17" t="s">
        <v>119</v>
      </c>
      <c r="B27" s="15" t="s">
        <v>120</v>
      </c>
      <c r="C27" s="18">
        <v>800</v>
      </c>
      <c r="D27" s="19">
        <v>12</v>
      </c>
      <c r="E27" s="18">
        <f t="shared" si="0"/>
        <v>9600</v>
      </c>
      <c r="F27" s="15" t="s">
        <v>121</v>
      </c>
    </row>
    <row r="28" spans="1:6" ht="44.25" customHeight="1" x14ac:dyDescent="0.25">
      <c r="A28" s="17" t="s">
        <v>122</v>
      </c>
      <c r="B28" s="15" t="s">
        <v>123</v>
      </c>
      <c r="C28" s="18">
        <v>150</v>
      </c>
      <c r="D28" s="19">
        <v>12</v>
      </c>
      <c r="E28" s="18">
        <f t="shared" si="0"/>
        <v>1800</v>
      </c>
      <c r="F28" s="15" t="s">
        <v>124</v>
      </c>
    </row>
    <row r="29" spans="1:6" ht="48" customHeight="1" x14ac:dyDescent="0.25">
      <c r="A29" s="17" t="s">
        <v>125</v>
      </c>
      <c r="B29" s="15" t="s">
        <v>283</v>
      </c>
      <c r="C29" s="18">
        <v>1000</v>
      </c>
      <c r="D29" s="19">
        <v>12</v>
      </c>
      <c r="E29" s="18">
        <f t="shared" si="0"/>
        <v>12000</v>
      </c>
      <c r="F29" s="15" t="s">
        <v>127</v>
      </c>
    </row>
    <row r="30" spans="1:6" ht="41.25" customHeight="1" x14ac:dyDescent="0.25">
      <c r="A30" s="17" t="s">
        <v>128</v>
      </c>
      <c r="B30" s="15" t="s">
        <v>129</v>
      </c>
      <c r="C30" s="18">
        <v>300</v>
      </c>
      <c r="D30" s="19">
        <v>12</v>
      </c>
      <c r="E30" s="18">
        <f t="shared" si="0"/>
        <v>3600</v>
      </c>
      <c r="F30" s="15" t="s">
        <v>130</v>
      </c>
    </row>
    <row r="31" spans="1:6" ht="46.5" customHeight="1" x14ac:dyDescent="0.25">
      <c r="A31" s="17" t="s">
        <v>131</v>
      </c>
      <c r="B31" s="15" t="s">
        <v>132</v>
      </c>
      <c r="C31" s="18">
        <v>200</v>
      </c>
      <c r="D31" s="19">
        <v>12</v>
      </c>
      <c r="E31" s="18">
        <f t="shared" si="0"/>
        <v>2400</v>
      </c>
      <c r="F31" s="15" t="s">
        <v>133</v>
      </c>
    </row>
    <row r="32" spans="1:6" ht="54.75" customHeight="1" x14ac:dyDescent="0.25">
      <c r="A32" s="17" t="s">
        <v>134</v>
      </c>
      <c r="B32" s="15" t="s">
        <v>135</v>
      </c>
      <c r="C32" s="18">
        <v>150</v>
      </c>
      <c r="D32" s="19">
        <v>12</v>
      </c>
      <c r="E32" s="18">
        <f t="shared" si="0"/>
        <v>1800</v>
      </c>
      <c r="F32" s="15" t="s">
        <v>136</v>
      </c>
    </row>
    <row r="33" spans="1:6" ht="20.100000000000001" customHeight="1" x14ac:dyDescent="0.25">
      <c r="A33" s="100" t="s">
        <v>137</v>
      </c>
      <c r="B33" s="78"/>
      <c r="C33" s="20">
        <f>SUM(C26:C32)</f>
        <v>2961</v>
      </c>
      <c r="D33" s="21" t="s">
        <v>83</v>
      </c>
      <c r="E33" s="22">
        <f>SUM(E26:E32)</f>
        <v>35532</v>
      </c>
      <c r="F33" s="23"/>
    </row>
    <row r="34" spans="1:6" ht="20.100000000000001" customHeight="1" x14ac:dyDescent="0.25">
      <c r="A34" s="101" t="s">
        <v>138</v>
      </c>
      <c r="B34" s="78"/>
      <c r="C34" s="78"/>
      <c r="D34" s="78"/>
      <c r="E34" s="78"/>
      <c r="F34" s="78"/>
    </row>
    <row r="35" spans="1:6" ht="18" customHeight="1" x14ac:dyDescent="0.25">
      <c r="A35" s="17" t="s">
        <v>139</v>
      </c>
      <c r="B35" s="15" t="s">
        <v>284</v>
      </c>
      <c r="C35" s="18">
        <v>1829</v>
      </c>
      <c r="D35" s="19">
        <v>12</v>
      </c>
      <c r="E35" s="18">
        <f>C35*D35</f>
        <v>21948</v>
      </c>
      <c r="F35" s="15" t="s">
        <v>141</v>
      </c>
    </row>
    <row r="36" spans="1:6" ht="18" customHeight="1" x14ac:dyDescent="0.25">
      <c r="A36" s="17" t="s">
        <v>142</v>
      </c>
      <c r="B36" s="15" t="s">
        <v>143</v>
      </c>
      <c r="C36" s="18">
        <v>1350</v>
      </c>
      <c r="D36" s="19">
        <v>12</v>
      </c>
      <c r="E36" s="18">
        <f>C36*D36</f>
        <v>16200</v>
      </c>
      <c r="F36" s="15" t="s">
        <v>144</v>
      </c>
    </row>
    <row r="37" spans="1:6" ht="18" customHeight="1" x14ac:dyDescent="0.25">
      <c r="A37" s="17" t="s">
        <v>145</v>
      </c>
      <c r="B37" s="15" t="s">
        <v>146</v>
      </c>
      <c r="C37" s="18">
        <v>200</v>
      </c>
      <c r="D37" s="19">
        <v>12</v>
      </c>
      <c r="E37" s="18">
        <f>C37*D37</f>
        <v>2400</v>
      </c>
      <c r="F37" s="15" t="s">
        <v>147</v>
      </c>
    </row>
    <row r="38" spans="1:6" ht="20.100000000000001" customHeight="1" x14ac:dyDescent="0.25">
      <c r="A38" s="100" t="s">
        <v>148</v>
      </c>
      <c r="B38" s="78"/>
      <c r="C38" s="20">
        <f>SUM(C35:C37)</f>
        <v>3379</v>
      </c>
      <c r="D38" s="21" t="s">
        <v>83</v>
      </c>
      <c r="E38" s="22">
        <f>SUM(E35:E37)</f>
        <v>40548</v>
      </c>
      <c r="F38" s="23"/>
    </row>
    <row r="39" spans="1:6" ht="20.100000000000001" customHeight="1" x14ac:dyDescent="0.25">
      <c r="A39" s="101" t="s">
        <v>149</v>
      </c>
      <c r="B39" s="78"/>
      <c r="C39" s="78"/>
      <c r="D39" s="78"/>
      <c r="E39" s="78"/>
      <c r="F39" s="78"/>
    </row>
    <row r="40" spans="1:6" ht="59.25" customHeight="1" x14ac:dyDescent="0.25">
      <c r="A40" s="17" t="s">
        <v>150</v>
      </c>
      <c r="B40" s="15" t="s">
        <v>151</v>
      </c>
      <c r="C40" s="18">
        <v>990</v>
      </c>
      <c r="D40" s="19">
        <v>12</v>
      </c>
      <c r="E40" s="18">
        <f>C40*D40</f>
        <v>11880</v>
      </c>
      <c r="F40" s="15" t="s">
        <v>152</v>
      </c>
    </row>
    <row r="41" spans="1:6" ht="46.5" customHeight="1" x14ac:dyDescent="0.25">
      <c r="A41" s="17" t="s">
        <v>153</v>
      </c>
      <c r="B41" s="15" t="s">
        <v>154</v>
      </c>
      <c r="C41" s="18">
        <v>150</v>
      </c>
      <c r="D41" s="19">
        <v>12</v>
      </c>
      <c r="E41" s="18">
        <f>C41*D41</f>
        <v>1800</v>
      </c>
      <c r="F41" s="15" t="s">
        <v>155</v>
      </c>
    </row>
    <row r="42" spans="1:6" ht="48" customHeight="1" x14ac:dyDescent="0.25">
      <c r="A42" s="17" t="s">
        <v>156</v>
      </c>
      <c r="B42" s="15" t="s">
        <v>157</v>
      </c>
      <c r="C42" s="18">
        <v>100</v>
      </c>
      <c r="D42" s="19">
        <v>12</v>
      </c>
      <c r="E42" s="18">
        <f>C42*D42</f>
        <v>1200</v>
      </c>
      <c r="F42" s="15" t="s">
        <v>158</v>
      </c>
    </row>
    <row r="43" spans="1:6" ht="48.75" customHeight="1" x14ac:dyDescent="0.25">
      <c r="A43" s="17" t="s">
        <v>159</v>
      </c>
      <c r="B43" s="15" t="s">
        <v>160</v>
      </c>
      <c r="C43" s="18">
        <v>80</v>
      </c>
      <c r="D43" s="19">
        <v>12</v>
      </c>
      <c r="E43" s="18">
        <f>C43*D43</f>
        <v>960</v>
      </c>
      <c r="F43" s="15" t="s">
        <v>161</v>
      </c>
    </row>
    <row r="44" spans="1:6" ht="20.100000000000001" customHeight="1" x14ac:dyDescent="0.25">
      <c r="A44" s="100" t="s">
        <v>162</v>
      </c>
      <c r="B44" s="78"/>
      <c r="C44" s="20">
        <f>SUM(C40:C43)</f>
        <v>1320</v>
      </c>
      <c r="D44" s="21" t="s">
        <v>83</v>
      </c>
      <c r="E44" s="22">
        <f>SUM(E40:E43)</f>
        <v>15840</v>
      </c>
      <c r="F44" s="23"/>
    </row>
    <row r="45" spans="1:6" ht="20.100000000000001" customHeight="1" x14ac:dyDescent="0.25">
      <c r="A45" s="101" t="s">
        <v>163</v>
      </c>
      <c r="B45" s="78"/>
      <c r="C45" s="78"/>
      <c r="D45" s="78"/>
      <c r="E45" s="78"/>
      <c r="F45" s="78"/>
    </row>
    <row r="46" spans="1:6" ht="57.75" customHeight="1" x14ac:dyDescent="0.25">
      <c r="A46" s="17" t="s">
        <v>164</v>
      </c>
      <c r="B46" s="15" t="s">
        <v>285</v>
      </c>
      <c r="C46" s="18">
        <v>188</v>
      </c>
      <c r="D46" s="19">
        <v>12</v>
      </c>
      <c r="E46" s="18">
        <f t="shared" ref="E46:E51" si="1">C46*D46</f>
        <v>2256</v>
      </c>
      <c r="F46" s="15" t="s">
        <v>166</v>
      </c>
    </row>
    <row r="47" spans="1:6" ht="50.25" customHeight="1" x14ac:dyDescent="0.25">
      <c r="A47" s="17" t="s">
        <v>167</v>
      </c>
      <c r="B47" s="15" t="s">
        <v>168</v>
      </c>
      <c r="C47" s="18">
        <v>387</v>
      </c>
      <c r="D47" s="19">
        <v>12</v>
      </c>
      <c r="E47" s="18">
        <f t="shared" si="1"/>
        <v>4644</v>
      </c>
      <c r="F47" s="15" t="s">
        <v>169</v>
      </c>
    </row>
    <row r="48" spans="1:6" ht="51" customHeight="1" x14ac:dyDescent="0.25">
      <c r="A48" s="17" t="s">
        <v>170</v>
      </c>
      <c r="B48" s="15" t="s">
        <v>171</v>
      </c>
      <c r="C48" s="18">
        <v>563</v>
      </c>
      <c r="D48" s="19">
        <v>12</v>
      </c>
      <c r="E48" s="18">
        <f t="shared" si="1"/>
        <v>6756</v>
      </c>
      <c r="F48" s="15" t="s">
        <v>172</v>
      </c>
    </row>
    <row r="49" spans="1:6" ht="42.75" customHeight="1" x14ac:dyDescent="0.25">
      <c r="A49" s="17" t="s">
        <v>173</v>
      </c>
      <c r="B49" s="15" t="s">
        <v>174</v>
      </c>
      <c r="C49" s="18">
        <v>200</v>
      </c>
      <c r="D49" s="19">
        <v>12</v>
      </c>
      <c r="E49" s="18">
        <f t="shared" si="1"/>
        <v>2400</v>
      </c>
      <c r="F49" s="15" t="s">
        <v>175</v>
      </c>
    </row>
    <row r="50" spans="1:6" ht="42" customHeight="1" x14ac:dyDescent="0.25">
      <c r="A50" s="17" t="s">
        <v>176</v>
      </c>
      <c r="B50" s="15" t="s">
        <v>177</v>
      </c>
      <c r="C50" s="18">
        <v>150</v>
      </c>
      <c r="D50" s="19">
        <v>12</v>
      </c>
      <c r="E50" s="18">
        <f t="shared" si="1"/>
        <v>1800</v>
      </c>
      <c r="F50" s="15" t="s">
        <v>178</v>
      </c>
    </row>
    <row r="51" spans="1:6" ht="46.5" customHeight="1" x14ac:dyDescent="0.25">
      <c r="A51" s="17" t="s">
        <v>179</v>
      </c>
      <c r="B51" s="15" t="s">
        <v>180</v>
      </c>
      <c r="C51" s="18">
        <v>300</v>
      </c>
      <c r="D51" s="19">
        <v>12</v>
      </c>
      <c r="E51" s="18">
        <f t="shared" si="1"/>
        <v>3600</v>
      </c>
      <c r="F51" s="15" t="s">
        <v>181</v>
      </c>
    </row>
    <row r="52" spans="1:6" ht="20.100000000000001" customHeight="1" x14ac:dyDescent="0.25">
      <c r="A52" s="100" t="s">
        <v>182</v>
      </c>
      <c r="B52" s="78"/>
      <c r="C52" s="20">
        <f>SUM(C46:C51)</f>
        <v>1788</v>
      </c>
      <c r="D52" s="21" t="s">
        <v>83</v>
      </c>
      <c r="E52" s="22">
        <f>SUM(E46:E51)</f>
        <v>21456</v>
      </c>
      <c r="F52" s="23"/>
    </row>
    <row r="53" spans="1:6" ht="20.100000000000001" customHeight="1" x14ac:dyDescent="0.25">
      <c r="A53" s="101" t="s">
        <v>183</v>
      </c>
      <c r="B53" s="78"/>
      <c r="C53" s="78"/>
      <c r="D53" s="78"/>
      <c r="E53" s="78"/>
      <c r="F53" s="78"/>
    </row>
    <row r="54" spans="1:6" ht="49.5" customHeight="1" x14ac:dyDescent="0.25">
      <c r="A54" s="17" t="s">
        <v>184</v>
      </c>
      <c r="B54" s="15" t="s">
        <v>286</v>
      </c>
      <c r="C54" s="18">
        <v>50</v>
      </c>
      <c r="D54" s="19">
        <v>12</v>
      </c>
      <c r="E54" s="18">
        <f>C54*D54</f>
        <v>600</v>
      </c>
      <c r="F54" s="15" t="s">
        <v>186</v>
      </c>
    </row>
    <row r="55" spans="1:6" ht="41.25" customHeight="1" x14ac:dyDescent="0.25">
      <c r="A55" s="17" t="s">
        <v>187</v>
      </c>
      <c r="B55" s="15" t="s">
        <v>188</v>
      </c>
      <c r="C55" s="18">
        <v>400</v>
      </c>
      <c r="D55" s="19">
        <v>12</v>
      </c>
      <c r="E55" s="18">
        <f>C55*D55</f>
        <v>4800</v>
      </c>
      <c r="F55" s="15" t="s">
        <v>189</v>
      </c>
    </row>
    <row r="56" spans="1:6" ht="44.25" customHeight="1" x14ac:dyDescent="0.25">
      <c r="A56" s="17" t="s">
        <v>190</v>
      </c>
      <c r="B56" s="15" t="s">
        <v>191</v>
      </c>
      <c r="C56" s="18">
        <v>10</v>
      </c>
      <c r="D56" s="19">
        <v>12</v>
      </c>
      <c r="E56" s="18">
        <f>C56*D56</f>
        <v>120</v>
      </c>
      <c r="F56" s="15" t="s">
        <v>192</v>
      </c>
    </row>
    <row r="57" spans="1:6" ht="20.100000000000001" customHeight="1" x14ac:dyDescent="0.25">
      <c r="A57" s="100" t="s">
        <v>193</v>
      </c>
      <c r="B57" s="78"/>
      <c r="C57" s="20">
        <f>SUM(C54:C56)</f>
        <v>460</v>
      </c>
      <c r="D57" s="21" t="s">
        <v>83</v>
      </c>
      <c r="E57" s="22">
        <f>SUM(E54:E56)</f>
        <v>5520</v>
      </c>
      <c r="F57" s="23"/>
    </row>
    <row r="58" spans="1:6" ht="20.100000000000001" customHeight="1" x14ac:dyDescent="0.25">
      <c r="A58" s="101" t="s">
        <v>194</v>
      </c>
      <c r="B58" s="78"/>
      <c r="C58" s="78"/>
      <c r="D58" s="78"/>
      <c r="E58" s="78"/>
      <c r="F58" s="78"/>
    </row>
    <row r="59" spans="1:6" ht="49.5" customHeight="1" x14ac:dyDescent="0.25">
      <c r="A59" s="17" t="s">
        <v>195</v>
      </c>
      <c r="B59" s="15" t="s">
        <v>196</v>
      </c>
      <c r="C59" s="18">
        <v>300</v>
      </c>
      <c r="D59" s="19">
        <v>12</v>
      </c>
      <c r="E59" s="18">
        <f>C59*D59</f>
        <v>3600</v>
      </c>
      <c r="F59" s="15" t="s">
        <v>197</v>
      </c>
    </row>
    <row r="60" spans="1:6" ht="42.75" customHeight="1" x14ac:dyDescent="0.25">
      <c r="A60" s="17" t="s">
        <v>198</v>
      </c>
      <c r="B60" s="15" t="s">
        <v>199</v>
      </c>
      <c r="C60" s="18">
        <v>625</v>
      </c>
      <c r="D60" s="19">
        <v>12</v>
      </c>
      <c r="E60" s="18">
        <f>C60*D60</f>
        <v>7500</v>
      </c>
      <c r="F60" s="15" t="s">
        <v>200</v>
      </c>
    </row>
    <row r="61" spans="1:6" ht="20.100000000000001" customHeight="1" x14ac:dyDescent="0.25">
      <c r="A61" s="100" t="s">
        <v>201</v>
      </c>
      <c r="B61" s="78"/>
      <c r="C61" s="20">
        <f>SUM(C59:C60)</f>
        <v>925</v>
      </c>
      <c r="D61" s="21" t="s">
        <v>83</v>
      </c>
      <c r="E61" s="22">
        <f>SUM(E59:E60)</f>
        <v>11100</v>
      </c>
      <c r="F61" s="23"/>
    </row>
    <row r="62" spans="1:6" ht="20.100000000000001" customHeight="1" x14ac:dyDescent="0.25">
      <c r="A62" s="101" t="s">
        <v>202</v>
      </c>
      <c r="B62" s="78"/>
      <c r="C62" s="78"/>
      <c r="D62" s="78"/>
      <c r="E62" s="78"/>
      <c r="F62" s="78"/>
    </row>
    <row r="63" spans="1:6" ht="82.5" customHeight="1" x14ac:dyDescent="0.25">
      <c r="A63" s="17" t="s">
        <v>203</v>
      </c>
      <c r="B63" s="15" t="s">
        <v>204</v>
      </c>
      <c r="C63" s="18">
        <v>1250</v>
      </c>
      <c r="D63" s="19">
        <v>12</v>
      </c>
      <c r="E63" s="18">
        <f>C63*D63</f>
        <v>15000</v>
      </c>
      <c r="F63" s="15" t="s">
        <v>205</v>
      </c>
    </row>
    <row r="64" spans="1:6" ht="59.25" customHeight="1" x14ac:dyDescent="0.25">
      <c r="A64" s="17" t="s">
        <v>206</v>
      </c>
      <c r="B64" s="15" t="s">
        <v>207</v>
      </c>
      <c r="C64" s="18">
        <v>833</v>
      </c>
      <c r="D64" s="19">
        <v>12</v>
      </c>
      <c r="E64" s="18">
        <f>C64*D64</f>
        <v>9996</v>
      </c>
      <c r="F64" s="15" t="s">
        <v>208</v>
      </c>
    </row>
    <row r="65" spans="1:6" ht="123.75" customHeight="1" x14ac:dyDescent="0.25">
      <c r="A65" s="17" t="s">
        <v>209</v>
      </c>
      <c r="B65" s="15" t="s">
        <v>210</v>
      </c>
      <c r="C65" s="18">
        <v>333</v>
      </c>
      <c r="D65" s="19">
        <v>12</v>
      </c>
      <c r="E65" s="18">
        <f>C65*D65</f>
        <v>3996</v>
      </c>
      <c r="F65" s="15" t="s">
        <v>211</v>
      </c>
    </row>
    <row r="66" spans="1:6" ht="20.100000000000001" customHeight="1" x14ac:dyDescent="0.25">
      <c r="A66" s="100" t="s">
        <v>212</v>
      </c>
      <c r="B66" s="78"/>
      <c r="C66" s="20">
        <f>SUM(C63:C65)</f>
        <v>2416</v>
      </c>
      <c r="D66" s="21" t="s">
        <v>83</v>
      </c>
      <c r="E66" s="22">
        <f>SUM(E63:E65)</f>
        <v>28992</v>
      </c>
      <c r="F66" s="23"/>
    </row>
    <row r="67" spans="1:6" ht="20.100000000000001" customHeight="1" x14ac:dyDescent="0.25">
      <c r="A67" s="101" t="s">
        <v>213</v>
      </c>
      <c r="B67" s="78"/>
      <c r="C67" s="78"/>
      <c r="D67" s="78"/>
      <c r="E67" s="78"/>
      <c r="F67" s="78"/>
    </row>
    <row r="68" spans="1:6" ht="50.25" customHeight="1" x14ac:dyDescent="0.25">
      <c r="A68" s="17" t="s">
        <v>214</v>
      </c>
      <c r="B68" s="15" t="s">
        <v>215</v>
      </c>
      <c r="C68" s="18">
        <v>1500</v>
      </c>
      <c r="D68" s="19">
        <v>12</v>
      </c>
      <c r="E68" s="18">
        <f>C68*D68</f>
        <v>18000</v>
      </c>
      <c r="F68" s="15" t="s">
        <v>216</v>
      </c>
    </row>
    <row r="69" spans="1:6" ht="44.25" customHeight="1" x14ac:dyDescent="0.25">
      <c r="A69" s="17" t="s">
        <v>217</v>
      </c>
      <c r="B69" s="15" t="s">
        <v>218</v>
      </c>
      <c r="C69" s="18">
        <v>800</v>
      </c>
      <c r="D69" s="19">
        <v>12</v>
      </c>
      <c r="E69" s="18">
        <f>C69*D69</f>
        <v>9600</v>
      </c>
      <c r="F69" s="15" t="s">
        <v>219</v>
      </c>
    </row>
    <row r="70" spans="1:6" ht="45.75" customHeight="1" x14ac:dyDescent="0.25">
      <c r="A70" s="17" t="s">
        <v>220</v>
      </c>
      <c r="B70" s="15" t="s">
        <v>221</v>
      </c>
      <c r="C70" s="18">
        <v>6000</v>
      </c>
      <c r="D70" s="19">
        <v>12</v>
      </c>
      <c r="E70" s="18">
        <f>C70*D70</f>
        <v>72000</v>
      </c>
      <c r="F70" s="15" t="s">
        <v>222</v>
      </c>
    </row>
    <row r="71" spans="1:6" ht="39" customHeight="1" x14ac:dyDescent="0.25">
      <c r="A71" s="17" t="s">
        <v>223</v>
      </c>
      <c r="B71" s="15" t="s">
        <v>224</v>
      </c>
      <c r="C71" s="18">
        <v>500</v>
      </c>
      <c r="D71" s="19">
        <v>12</v>
      </c>
      <c r="E71" s="18">
        <f>C71*D71</f>
        <v>6000</v>
      </c>
      <c r="F71" s="15" t="s">
        <v>225</v>
      </c>
    </row>
    <row r="72" spans="1:6" ht="20.100000000000001" customHeight="1" x14ac:dyDescent="0.25">
      <c r="A72" s="100" t="s">
        <v>226</v>
      </c>
      <c r="B72" s="78"/>
      <c r="C72" s="20">
        <f>SUM(C68:C71)</f>
        <v>8800</v>
      </c>
      <c r="D72" s="21" t="s">
        <v>83</v>
      </c>
      <c r="E72" s="22">
        <f>SUM(E68:E71)</f>
        <v>105600</v>
      </c>
      <c r="F72" s="23"/>
    </row>
    <row r="73" spans="1:6" ht="20.100000000000001" customHeight="1" x14ac:dyDescent="0.25">
      <c r="A73" s="101" t="s">
        <v>227</v>
      </c>
      <c r="B73" s="78"/>
      <c r="C73" s="78"/>
      <c r="D73" s="78"/>
      <c r="E73" s="78"/>
      <c r="F73" s="78"/>
    </row>
    <row r="74" spans="1:6" ht="60" customHeight="1" x14ac:dyDescent="0.25">
      <c r="A74" s="17" t="s">
        <v>228</v>
      </c>
      <c r="B74" s="15" t="s">
        <v>229</v>
      </c>
      <c r="C74" s="18">
        <v>15000</v>
      </c>
      <c r="D74" s="19">
        <v>12</v>
      </c>
      <c r="E74" s="18">
        <f>C74*D74</f>
        <v>180000</v>
      </c>
      <c r="F74" s="15" t="s">
        <v>230</v>
      </c>
    </row>
    <row r="75" spans="1:6" ht="45.75" customHeight="1" x14ac:dyDescent="0.25">
      <c r="A75" s="17" t="s">
        <v>231</v>
      </c>
      <c r="B75" s="15" t="s">
        <v>232</v>
      </c>
      <c r="C75" s="18">
        <v>9000</v>
      </c>
      <c r="D75" s="19">
        <v>12</v>
      </c>
      <c r="E75" s="18">
        <f>C75*D75</f>
        <v>108000</v>
      </c>
      <c r="F75" s="15" t="s">
        <v>233</v>
      </c>
    </row>
    <row r="76" spans="1:6" ht="45.75" customHeight="1" x14ac:dyDescent="0.25">
      <c r="A76" s="17" t="s">
        <v>234</v>
      </c>
      <c r="B76" s="15" t="s">
        <v>235</v>
      </c>
      <c r="C76" s="18">
        <v>2000</v>
      </c>
      <c r="D76" s="19">
        <v>12</v>
      </c>
      <c r="E76" s="18">
        <f>C76*D76</f>
        <v>24000</v>
      </c>
      <c r="F76" s="15" t="s">
        <v>236</v>
      </c>
    </row>
    <row r="77" spans="1:6" ht="57" customHeight="1" x14ac:dyDescent="0.25">
      <c r="A77" s="17" t="s">
        <v>237</v>
      </c>
      <c r="B77" s="15" t="s">
        <v>238</v>
      </c>
      <c r="C77" s="18">
        <v>3000</v>
      </c>
      <c r="D77" s="19">
        <v>12</v>
      </c>
      <c r="E77" s="18">
        <f>C77*D77</f>
        <v>36000</v>
      </c>
      <c r="F77" s="15" t="s">
        <v>239</v>
      </c>
    </row>
    <row r="78" spans="1:6" ht="20.100000000000001" customHeight="1" x14ac:dyDescent="0.25">
      <c r="A78" s="100" t="s">
        <v>240</v>
      </c>
      <c r="B78" s="78"/>
      <c r="C78" s="20">
        <f>SUM(C74:C77)</f>
        <v>29000</v>
      </c>
      <c r="D78" s="21" t="s">
        <v>83</v>
      </c>
      <c r="E78" s="22">
        <f>SUM(E74:E77)</f>
        <v>348000</v>
      </c>
      <c r="F78" s="23"/>
    </row>
    <row r="79" spans="1:6" ht="20.100000000000001" customHeight="1" x14ac:dyDescent="0.25">
      <c r="A79" s="101" t="s">
        <v>241</v>
      </c>
      <c r="B79" s="78"/>
      <c r="C79" s="78"/>
      <c r="D79" s="78"/>
      <c r="E79" s="78"/>
      <c r="F79" s="78"/>
    </row>
    <row r="80" spans="1:6" ht="40.5" customHeight="1" x14ac:dyDescent="0.25">
      <c r="A80" s="17" t="s">
        <v>242</v>
      </c>
      <c r="B80" s="15" t="s">
        <v>243</v>
      </c>
      <c r="C80" s="18">
        <v>57</v>
      </c>
      <c r="D80" s="19">
        <v>12</v>
      </c>
      <c r="E80" s="18">
        <f>C80*D80</f>
        <v>684</v>
      </c>
      <c r="F80" s="15" t="s">
        <v>244</v>
      </c>
    </row>
    <row r="81" spans="1:6" ht="42.75" customHeight="1" x14ac:dyDescent="0.25">
      <c r="A81" s="17" t="s">
        <v>245</v>
      </c>
      <c r="B81" s="15" t="s">
        <v>287</v>
      </c>
      <c r="C81" s="18">
        <v>500</v>
      </c>
      <c r="D81" s="19">
        <v>12</v>
      </c>
      <c r="E81" s="18">
        <f>C81*D81</f>
        <v>6000</v>
      </c>
      <c r="F81" s="15" t="s">
        <v>247</v>
      </c>
    </row>
    <row r="82" spans="1:6" ht="57.75" customHeight="1" x14ac:dyDescent="0.25">
      <c r="A82" s="17" t="s">
        <v>248</v>
      </c>
      <c r="B82" s="15" t="s">
        <v>249</v>
      </c>
      <c r="C82" s="18">
        <v>1050</v>
      </c>
      <c r="D82" s="19">
        <v>12</v>
      </c>
      <c r="E82" s="18">
        <f>C82*D82</f>
        <v>12600</v>
      </c>
      <c r="F82" s="15" t="s">
        <v>250</v>
      </c>
    </row>
    <row r="83" spans="1:6" ht="45" customHeight="1" x14ac:dyDescent="0.25">
      <c r="A83" s="17" t="s">
        <v>251</v>
      </c>
      <c r="B83" s="15" t="s">
        <v>252</v>
      </c>
      <c r="C83" s="18">
        <v>1400</v>
      </c>
      <c r="D83" s="19">
        <v>12</v>
      </c>
      <c r="E83" s="18">
        <f>C83*D83</f>
        <v>16800</v>
      </c>
      <c r="F83" s="15" t="s">
        <v>253</v>
      </c>
    </row>
    <row r="84" spans="1:6" ht="50.25" customHeight="1" x14ac:dyDescent="0.25">
      <c r="A84" s="17" t="s">
        <v>254</v>
      </c>
      <c r="B84" s="15" t="s">
        <v>255</v>
      </c>
      <c r="C84" s="18">
        <v>160</v>
      </c>
      <c r="D84" s="19">
        <v>12</v>
      </c>
      <c r="E84" s="18">
        <f>C84*D84</f>
        <v>1920</v>
      </c>
      <c r="F84" s="15" t="s">
        <v>256</v>
      </c>
    </row>
    <row r="85" spans="1:6" ht="20.100000000000001" customHeight="1" x14ac:dyDescent="0.25">
      <c r="A85" s="100" t="s">
        <v>257</v>
      </c>
      <c r="B85" s="78"/>
      <c r="C85" s="20">
        <f>SUM(C80:C84)</f>
        <v>3167</v>
      </c>
      <c r="D85" s="21" t="s">
        <v>83</v>
      </c>
      <c r="E85" s="22">
        <f>SUM(E80:E84)</f>
        <v>38004</v>
      </c>
      <c r="F85" s="23"/>
    </row>
    <row r="87" spans="1:6" ht="27.95" customHeight="1" x14ac:dyDescent="0.25">
      <c r="A87" s="102" t="s">
        <v>288</v>
      </c>
      <c r="B87" s="78"/>
      <c r="C87" s="24">
        <f>(E11+E18+E24+E33+E38+E44+E52+E57+E61+E66+E72+E78+E85)/12</f>
        <v>65290</v>
      </c>
      <c r="D87" s="25" t="s">
        <v>83</v>
      </c>
      <c r="E87" s="26">
        <f>E11+E18+E24+E33+E38+E44+E52+E57+E61+E66+E72+E78+E85</f>
        <v>783480</v>
      </c>
      <c r="F87" s="27" t="s">
        <v>289</v>
      </c>
    </row>
    <row r="200" spans="3:3" x14ac:dyDescent="0.25">
      <c r="C200" s="28">
        <f>E87</f>
        <v>783480</v>
      </c>
    </row>
  </sheetData>
  <mergeCells count="29">
    <mergeCell ref="A1:F1"/>
    <mergeCell ref="A45:F45"/>
    <mergeCell ref="A79:F79"/>
    <mergeCell ref="A44:B44"/>
    <mergeCell ref="A25:F25"/>
    <mergeCell ref="A2:F2"/>
    <mergeCell ref="A78:B78"/>
    <mergeCell ref="A5:F5"/>
    <mergeCell ref="A66:B66"/>
    <mergeCell ref="A62:F62"/>
    <mergeCell ref="A18:B18"/>
    <mergeCell ref="A53:F53"/>
    <mergeCell ref="A19:F19"/>
    <mergeCell ref="A57:B57"/>
    <mergeCell ref="A33:B33"/>
    <mergeCell ref="A67:F67"/>
    <mergeCell ref="A58:F58"/>
    <mergeCell ref="A34:F34"/>
    <mergeCell ref="A39:F39"/>
    <mergeCell ref="A73:F73"/>
    <mergeCell ref="A38:B38"/>
    <mergeCell ref="A24:B24"/>
    <mergeCell ref="A11:B11"/>
    <mergeCell ref="A12:F12"/>
    <mergeCell ref="A61:B61"/>
    <mergeCell ref="A87:B87"/>
    <mergeCell ref="A85:B85"/>
    <mergeCell ref="A72:B72"/>
    <mergeCell ref="A52:B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"/>
  <sheetViews>
    <sheetView showGridLines="0" workbookViewId="0">
      <pane ySplit="5" topLeftCell="A47" activePane="bottomLeft" state="frozen"/>
      <selection pane="bottomLeft" sqref="A1:F1"/>
    </sheetView>
  </sheetViews>
  <sheetFormatPr baseColWidth="10" defaultColWidth="9.140625" defaultRowHeight="15" x14ac:dyDescent="0.25"/>
  <cols>
    <col min="1" max="1" width="30" customWidth="1"/>
    <col min="2" max="2" width="42" customWidth="1"/>
    <col min="3" max="3" width="18" customWidth="1"/>
    <col min="4" max="4" width="15" customWidth="1"/>
    <col min="5" max="5" width="18" customWidth="1"/>
    <col min="6" max="6" width="28" customWidth="1"/>
  </cols>
  <sheetData>
    <row r="1" spans="1:6" ht="45" customHeight="1" x14ac:dyDescent="0.25">
      <c r="A1" s="121" t="s">
        <v>290</v>
      </c>
      <c r="B1" s="78"/>
      <c r="C1" s="78"/>
      <c r="D1" s="78"/>
      <c r="E1" s="78"/>
      <c r="F1" s="78"/>
    </row>
    <row r="2" spans="1:6" ht="30" customHeight="1" x14ac:dyDescent="0.25">
      <c r="A2" s="112" t="s">
        <v>291</v>
      </c>
      <c r="B2" s="78"/>
      <c r="C2" s="78"/>
      <c r="D2" s="78"/>
      <c r="E2" s="78"/>
      <c r="F2" s="78"/>
    </row>
    <row r="3" spans="1:6" ht="54.95" customHeight="1" x14ac:dyDescent="0.25">
      <c r="A3" s="111" t="s">
        <v>292</v>
      </c>
      <c r="B3" s="78"/>
      <c r="C3" s="78"/>
      <c r="D3" s="78"/>
      <c r="E3" s="78"/>
      <c r="F3" s="78"/>
    </row>
    <row r="5" spans="1:6" ht="21.95" customHeight="1" x14ac:dyDescent="0.25">
      <c r="A5" s="114" t="s">
        <v>293</v>
      </c>
      <c r="B5" s="78"/>
      <c r="C5" s="78"/>
      <c r="D5" s="78"/>
      <c r="E5" s="78"/>
      <c r="F5" s="78"/>
    </row>
    <row r="6" spans="1:6" ht="20.100000000000001" customHeight="1" x14ac:dyDescent="0.25">
      <c r="A6" s="46" t="s">
        <v>294</v>
      </c>
      <c r="B6" s="46" t="s">
        <v>295</v>
      </c>
      <c r="C6" s="46" t="s">
        <v>296</v>
      </c>
      <c r="D6" s="46" t="s">
        <v>297</v>
      </c>
      <c r="E6" s="46" t="s">
        <v>298</v>
      </c>
      <c r="F6" s="46" t="s">
        <v>299</v>
      </c>
    </row>
    <row r="7" spans="1:6" ht="69" customHeight="1" x14ac:dyDescent="0.25">
      <c r="A7" s="47" t="s">
        <v>300</v>
      </c>
      <c r="B7" s="38" t="s">
        <v>301</v>
      </c>
      <c r="C7" s="48" t="s">
        <v>302</v>
      </c>
      <c r="D7" s="49" t="s">
        <v>303</v>
      </c>
      <c r="E7" s="49" t="s">
        <v>304</v>
      </c>
      <c r="F7" s="50" t="s">
        <v>305</v>
      </c>
    </row>
    <row r="8" spans="1:6" ht="110.25" customHeight="1" x14ac:dyDescent="0.25">
      <c r="A8" s="47" t="s">
        <v>306</v>
      </c>
      <c r="B8" s="34" t="s">
        <v>307</v>
      </c>
      <c r="C8" s="48" t="s">
        <v>308</v>
      </c>
      <c r="D8" s="51" t="s">
        <v>309</v>
      </c>
      <c r="E8" s="51" t="s">
        <v>310</v>
      </c>
      <c r="F8" s="52" t="s">
        <v>311</v>
      </c>
    </row>
    <row r="9" spans="1:6" ht="105" customHeight="1" x14ac:dyDescent="0.25">
      <c r="A9" s="47" t="s">
        <v>312</v>
      </c>
      <c r="B9" s="38" t="s">
        <v>313</v>
      </c>
      <c r="C9" s="48" t="s">
        <v>314</v>
      </c>
      <c r="D9" s="49" t="s">
        <v>315</v>
      </c>
      <c r="E9" s="49" t="s">
        <v>316</v>
      </c>
      <c r="F9" s="50" t="s">
        <v>317</v>
      </c>
    </row>
    <row r="10" spans="1:6" ht="111.75" customHeight="1" x14ac:dyDescent="0.25">
      <c r="A10" s="47" t="s">
        <v>318</v>
      </c>
      <c r="B10" s="34" t="s">
        <v>319</v>
      </c>
      <c r="C10" s="48" t="s">
        <v>320</v>
      </c>
      <c r="D10" s="51" t="s">
        <v>321</v>
      </c>
      <c r="E10" s="51" t="s">
        <v>322</v>
      </c>
      <c r="F10" s="52" t="s">
        <v>323</v>
      </c>
    </row>
    <row r="11" spans="1:6" ht="85.5" customHeight="1" x14ac:dyDescent="0.25">
      <c r="A11" s="47" t="s">
        <v>324</v>
      </c>
      <c r="B11" s="38" t="s">
        <v>325</v>
      </c>
      <c r="C11" s="48" t="s">
        <v>326</v>
      </c>
      <c r="D11" s="49" t="s">
        <v>327</v>
      </c>
      <c r="E11" s="49" t="s">
        <v>328</v>
      </c>
      <c r="F11" s="50" t="s">
        <v>329</v>
      </c>
    </row>
    <row r="13" spans="1:6" ht="21.95" customHeight="1" x14ac:dyDescent="0.25">
      <c r="A13" s="110" t="s">
        <v>330</v>
      </c>
      <c r="B13" s="106"/>
      <c r="C13" s="106"/>
      <c r="D13" s="106"/>
      <c r="E13" s="106"/>
      <c r="F13" s="106"/>
    </row>
    <row r="14" spans="1:6" ht="54.95" customHeight="1" x14ac:dyDescent="0.25">
      <c r="A14" s="53" t="s">
        <v>331</v>
      </c>
      <c r="B14" s="54" t="s">
        <v>332</v>
      </c>
      <c r="C14" s="55" t="s">
        <v>333</v>
      </c>
      <c r="D14" s="56" t="s">
        <v>334</v>
      </c>
      <c r="E14" s="57" t="s">
        <v>335</v>
      </c>
      <c r="F14" s="106"/>
    </row>
    <row r="15" spans="1:6" ht="54.95" customHeight="1" x14ac:dyDescent="0.25">
      <c r="A15" s="58" t="s">
        <v>336</v>
      </c>
      <c r="B15" s="59" t="s">
        <v>337</v>
      </c>
      <c r="C15" s="60" t="s">
        <v>338</v>
      </c>
      <c r="D15" s="61" t="s">
        <v>339</v>
      </c>
      <c r="E15" s="62" t="s">
        <v>340</v>
      </c>
      <c r="F15" s="106"/>
    </row>
    <row r="16" spans="1:6" ht="54.95" customHeight="1" x14ac:dyDescent="0.25">
      <c r="A16" s="63" t="s">
        <v>341</v>
      </c>
      <c r="B16" s="14" t="s">
        <v>342</v>
      </c>
      <c r="C16" s="64" t="s">
        <v>343</v>
      </c>
      <c r="D16" s="65" t="s">
        <v>344</v>
      </c>
      <c r="E16" s="66" t="s">
        <v>345</v>
      </c>
      <c r="F16" s="106"/>
    </row>
    <row r="17" spans="1:6" ht="54.95" customHeight="1" x14ac:dyDescent="0.25">
      <c r="A17" s="67" t="s">
        <v>346</v>
      </c>
      <c r="B17" s="68" t="s">
        <v>347</v>
      </c>
      <c r="C17" s="69" t="s">
        <v>348</v>
      </c>
      <c r="D17" s="70" t="s">
        <v>349</v>
      </c>
      <c r="E17" s="71" t="s">
        <v>350</v>
      </c>
      <c r="F17" s="106"/>
    </row>
    <row r="18" spans="1:6" ht="54.95" customHeight="1" x14ac:dyDescent="0.25">
      <c r="A18" s="53" t="s">
        <v>351</v>
      </c>
      <c r="B18" s="54" t="s">
        <v>352</v>
      </c>
      <c r="C18" s="55" t="s">
        <v>353</v>
      </c>
      <c r="D18" s="56" t="s">
        <v>354</v>
      </c>
      <c r="E18" s="57" t="s">
        <v>355</v>
      </c>
      <c r="F18" s="106"/>
    </row>
    <row r="20" spans="1:6" ht="21.95" customHeight="1" x14ac:dyDescent="0.25">
      <c r="A20" s="114" t="s">
        <v>356</v>
      </c>
      <c r="B20" s="78"/>
      <c r="C20" s="78"/>
      <c r="D20" s="78"/>
      <c r="E20" s="78"/>
      <c r="F20" s="78"/>
    </row>
    <row r="21" spans="1:6" ht="20.100000000000001" customHeight="1" x14ac:dyDescent="0.25">
      <c r="A21" s="46" t="s">
        <v>357</v>
      </c>
      <c r="B21" s="46" t="s">
        <v>358</v>
      </c>
      <c r="C21" s="46" t="s">
        <v>359</v>
      </c>
      <c r="D21" s="46" t="s">
        <v>360</v>
      </c>
      <c r="E21" s="46" t="s">
        <v>361</v>
      </c>
      <c r="F21" s="46" t="s">
        <v>362</v>
      </c>
    </row>
    <row r="22" spans="1:6" ht="50.1" customHeight="1" x14ac:dyDescent="0.25">
      <c r="A22" s="47" t="s">
        <v>363</v>
      </c>
      <c r="B22" s="36" t="s">
        <v>364</v>
      </c>
      <c r="C22" s="56" t="s">
        <v>365</v>
      </c>
      <c r="D22" s="56" t="s">
        <v>366</v>
      </c>
      <c r="E22" s="56" t="s">
        <v>366</v>
      </c>
      <c r="F22" s="36" t="s">
        <v>367</v>
      </c>
    </row>
    <row r="23" spans="1:6" ht="50.1" customHeight="1" x14ac:dyDescent="0.25">
      <c r="A23" s="47" t="s">
        <v>368</v>
      </c>
      <c r="B23" s="40" t="s">
        <v>369</v>
      </c>
      <c r="C23" s="56" t="s">
        <v>339</v>
      </c>
      <c r="D23" s="56" t="s">
        <v>334</v>
      </c>
      <c r="E23" s="56" t="s">
        <v>334</v>
      </c>
      <c r="F23" s="40" t="s">
        <v>370</v>
      </c>
    </row>
    <row r="24" spans="1:6" ht="50.1" customHeight="1" x14ac:dyDescent="0.25">
      <c r="A24" s="47" t="s">
        <v>371</v>
      </c>
      <c r="B24" s="36" t="s">
        <v>372</v>
      </c>
      <c r="C24" s="56" t="s">
        <v>373</v>
      </c>
      <c r="D24" s="56" t="s">
        <v>374</v>
      </c>
      <c r="E24" s="56" t="s">
        <v>375</v>
      </c>
      <c r="F24" s="36" t="s">
        <v>376</v>
      </c>
    </row>
    <row r="25" spans="1:6" ht="50.1" customHeight="1" x14ac:dyDescent="0.25">
      <c r="A25" s="47" t="s">
        <v>377</v>
      </c>
      <c r="B25" s="40" t="s">
        <v>378</v>
      </c>
      <c r="C25" s="56" t="s">
        <v>379</v>
      </c>
      <c r="D25" s="56" t="s">
        <v>380</v>
      </c>
      <c r="E25" s="56" t="s">
        <v>381</v>
      </c>
      <c r="F25" s="40" t="s">
        <v>382</v>
      </c>
    </row>
    <row r="26" spans="1:6" ht="50.1" customHeight="1" x14ac:dyDescent="0.25">
      <c r="A26" s="47" t="s">
        <v>383</v>
      </c>
      <c r="B26" s="36" t="s">
        <v>384</v>
      </c>
      <c r="C26" s="56" t="s">
        <v>385</v>
      </c>
      <c r="D26" s="56" t="s">
        <v>386</v>
      </c>
      <c r="E26" s="56" t="s">
        <v>387</v>
      </c>
      <c r="F26" s="36" t="s">
        <v>388</v>
      </c>
    </row>
    <row r="27" spans="1:6" ht="50.1" customHeight="1" x14ac:dyDescent="0.25">
      <c r="A27" s="47" t="s">
        <v>389</v>
      </c>
      <c r="B27" s="40" t="s">
        <v>390</v>
      </c>
      <c r="C27" s="56" t="s">
        <v>391</v>
      </c>
      <c r="D27" s="56" t="s">
        <v>392</v>
      </c>
      <c r="E27" s="56" t="s">
        <v>393</v>
      </c>
      <c r="F27" s="40" t="s">
        <v>394</v>
      </c>
    </row>
    <row r="28" spans="1:6" ht="50.1" customHeight="1" x14ac:dyDescent="0.25">
      <c r="A28" s="47" t="s">
        <v>395</v>
      </c>
      <c r="B28" s="36" t="s">
        <v>396</v>
      </c>
      <c r="C28" s="56" t="s">
        <v>397</v>
      </c>
      <c r="D28" s="56" t="s">
        <v>398</v>
      </c>
      <c r="E28" s="56" t="s">
        <v>398</v>
      </c>
      <c r="F28" s="36" t="s">
        <v>399</v>
      </c>
    </row>
    <row r="29" spans="1:6" ht="24.95" customHeight="1" x14ac:dyDescent="0.25">
      <c r="A29" s="119" t="s">
        <v>400</v>
      </c>
      <c r="B29" s="106"/>
      <c r="C29" s="53" t="s">
        <v>401</v>
      </c>
      <c r="D29" s="53" t="s">
        <v>402</v>
      </c>
      <c r="E29" s="53" t="s">
        <v>403</v>
      </c>
      <c r="F29" s="72" t="s">
        <v>404</v>
      </c>
    </row>
    <row r="31" spans="1:6" ht="21.95" customHeight="1" x14ac:dyDescent="0.25">
      <c r="A31" s="117" t="s">
        <v>405</v>
      </c>
      <c r="B31" s="106"/>
      <c r="C31" s="106"/>
      <c r="D31" s="106"/>
      <c r="E31" s="106"/>
      <c r="F31" s="106"/>
    </row>
    <row r="32" spans="1:6" ht="90" customHeight="1" x14ac:dyDescent="0.25">
      <c r="A32" s="107" t="s">
        <v>406</v>
      </c>
      <c r="B32" s="116" t="s">
        <v>407</v>
      </c>
      <c r="C32" s="106"/>
      <c r="D32" s="106"/>
      <c r="E32" s="106"/>
      <c r="F32" s="106"/>
    </row>
    <row r="33" spans="1:6" ht="90" customHeight="1" x14ac:dyDescent="0.25">
      <c r="A33" s="107" t="s">
        <v>408</v>
      </c>
      <c r="B33" s="116" t="s">
        <v>409</v>
      </c>
      <c r="C33" s="106"/>
      <c r="D33" s="106"/>
      <c r="E33" s="106"/>
      <c r="F33" s="106"/>
    </row>
    <row r="34" spans="1:6" ht="90" customHeight="1" x14ac:dyDescent="0.25">
      <c r="A34" s="107" t="s">
        <v>410</v>
      </c>
      <c r="B34" s="116" t="s">
        <v>411</v>
      </c>
      <c r="C34" s="106"/>
      <c r="D34" s="106"/>
      <c r="E34" s="106"/>
      <c r="F34" s="106"/>
    </row>
    <row r="35" spans="1:6" ht="90" customHeight="1" x14ac:dyDescent="0.25">
      <c r="A35" s="107" t="s">
        <v>412</v>
      </c>
      <c r="B35" s="116" t="s">
        <v>413</v>
      </c>
      <c r="C35" s="106"/>
      <c r="D35" s="106"/>
      <c r="E35" s="106"/>
      <c r="F35" s="106"/>
    </row>
    <row r="37" spans="1:6" ht="21.95" customHeight="1" x14ac:dyDescent="0.25">
      <c r="A37" s="110" t="s">
        <v>414</v>
      </c>
      <c r="B37" s="106"/>
      <c r="C37" s="106"/>
      <c r="D37" s="106"/>
      <c r="E37" s="106"/>
      <c r="F37" s="106"/>
    </row>
    <row r="38" spans="1:6" ht="20.100000000000001" customHeight="1" x14ac:dyDescent="0.25">
      <c r="A38" s="73" t="s">
        <v>415</v>
      </c>
      <c r="B38" s="73" t="s">
        <v>416</v>
      </c>
      <c r="C38" s="73" t="s">
        <v>417</v>
      </c>
      <c r="D38" s="73" t="s">
        <v>418</v>
      </c>
      <c r="E38" s="113" t="s">
        <v>418</v>
      </c>
      <c r="F38" s="106"/>
    </row>
    <row r="39" spans="1:6" ht="45" customHeight="1" x14ac:dyDescent="0.25">
      <c r="A39" s="47" t="s">
        <v>419</v>
      </c>
      <c r="B39" s="74" t="s">
        <v>420</v>
      </c>
      <c r="C39" s="75" t="s">
        <v>421</v>
      </c>
      <c r="D39" s="108" t="s">
        <v>422</v>
      </c>
      <c r="E39" s="106"/>
      <c r="F39" s="106"/>
    </row>
    <row r="40" spans="1:6" ht="45" customHeight="1" x14ac:dyDescent="0.25">
      <c r="A40" s="47" t="s">
        <v>423</v>
      </c>
      <c r="B40" s="76" t="s">
        <v>424</v>
      </c>
      <c r="C40" s="75" t="s">
        <v>425</v>
      </c>
      <c r="D40" s="108" t="s">
        <v>426</v>
      </c>
      <c r="E40" s="106"/>
      <c r="F40" s="106"/>
    </row>
    <row r="41" spans="1:6" ht="45" customHeight="1" x14ac:dyDescent="0.25">
      <c r="A41" s="47" t="s">
        <v>427</v>
      </c>
      <c r="B41" s="74" t="s">
        <v>428</v>
      </c>
      <c r="C41" s="75" t="s">
        <v>429</v>
      </c>
      <c r="D41" s="108" t="s">
        <v>430</v>
      </c>
      <c r="E41" s="106"/>
      <c r="F41" s="106"/>
    </row>
    <row r="42" spans="1:6" ht="45" customHeight="1" x14ac:dyDescent="0.25">
      <c r="A42" s="47" t="s">
        <v>431</v>
      </c>
      <c r="B42" s="76" t="s">
        <v>432</v>
      </c>
      <c r="C42" s="75" t="s">
        <v>433</v>
      </c>
      <c r="D42" s="108" t="s">
        <v>434</v>
      </c>
      <c r="E42" s="106"/>
      <c r="F42" s="106"/>
    </row>
    <row r="43" spans="1:6" ht="45" customHeight="1" x14ac:dyDescent="0.25">
      <c r="A43" s="47" t="s">
        <v>435</v>
      </c>
      <c r="B43" s="74" t="s">
        <v>436</v>
      </c>
      <c r="C43" s="75" t="s">
        <v>437</v>
      </c>
      <c r="D43" s="108" t="s">
        <v>438</v>
      </c>
      <c r="E43" s="106"/>
      <c r="F43" s="106"/>
    </row>
    <row r="45" spans="1:6" ht="21.95" customHeight="1" x14ac:dyDescent="0.25">
      <c r="A45" s="114" t="s">
        <v>439</v>
      </c>
      <c r="B45" s="106"/>
      <c r="C45" s="106"/>
      <c r="D45" s="106"/>
      <c r="E45" s="106"/>
      <c r="F45" s="106"/>
    </row>
    <row r="46" spans="1:6" ht="60" customHeight="1" x14ac:dyDescent="0.25">
      <c r="A46" s="47" t="s">
        <v>440</v>
      </c>
      <c r="B46" s="120" t="s">
        <v>441</v>
      </c>
      <c r="C46" s="106"/>
      <c r="D46" s="106"/>
      <c r="E46" s="105" t="s">
        <v>442</v>
      </c>
      <c r="F46" s="106"/>
    </row>
    <row r="47" spans="1:6" ht="60" customHeight="1" x14ac:dyDescent="0.25">
      <c r="A47" s="47" t="s">
        <v>443</v>
      </c>
      <c r="B47" s="109" t="s">
        <v>444</v>
      </c>
      <c r="C47" s="106"/>
      <c r="D47" s="106"/>
      <c r="E47" s="105" t="s">
        <v>445</v>
      </c>
      <c r="F47" s="106"/>
    </row>
    <row r="48" spans="1:6" ht="60" customHeight="1" x14ac:dyDescent="0.25">
      <c r="A48" s="47" t="s">
        <v>446</v>
      </c>
      <c r="B48" s="109" t="s">
        <v>447</v>
      </c>
      <c r="C48" s="106"/>
      <c r="D48" s="106"/>
      <c r="E48" s="105" t="s">
        <v>448</v>
      </c>
      <c r="F48" s="106"/>
    </row>
    <row r="49" spans="1:6" ht="60" customHeight="1" x14ac:dyDescent="0.25">
      <c r="A49" s="47" t="s">
        <v>449</v>
      </c>
      <c r="B49" s="115" t="s">
        <v>450</v>
      </c>
      <c r="C49" s="106"/>
      <c r="D49" s="106"/>
      <c r="E49" s="105" t="s">
        <v>451</v>
      </c>
      <c r="F49" s="106"/>
    </row>
    <row r="50" spans="1:6" ht="60" customHeight="1" x14ac:dyDescent="0.25">
      <c r="A50" s="47" t="s">
        <v>452</v>
      </c>
      <c r="B50" s="118" t="s">
        <v>453</v>
      </c>
      <c r="C50" s="106"/>
      <c r="D50" s="106"/>
      <c r="E50" s="105" t="s">
        <v>454</v>
      </c>
      <c r="F50" s="106"/>
    </row>
  </sheetData>
  <mergeCells count="39">
    <mergeCell ref="A1:F1"/>
    <mergeCell ref="A45:F45"/>
    <mergeCell ref="D40:F40"/>
    <mergeCell ref="B32:F32"/>
    <mergeCell ref="A33"/>
    <mergeCell ref="A32"/>
    <mergeCell ref="F15"/>
    <mergeCell ref="A31:F31"/>
    <mergeCell ref="B50:D50"/>
    <mergeCell ref="B47:D47"/>
    <mergeCell ref="F18"/>
    <mergeCell ref="A29:B29"/>
    <mergeCell ref="B46:D46"/>
    <mergeCell ref="F17"/>
    <mergeCell ref="B33:F33"/>
    <mergeCell ref="E47:F47"/>
    <mergeCell ref="A3:F3"/>
    <mergeCell ref="E48:F48"/>
    <mergeCell ref="F14"/>
    <mergeCell ref="D43:F43"/>
    <mergeCell ref="A2:F2"/>
    <mergeCell ref="A34"/>
    <mergeCell ref="E38:F38"/>
    <mergeCell ref="A5:F5"/>
    <mergeCell ref="F16"/>
    <mergeCell ref="A20:F20"/>
    <mergeCell ref="D39:F39"/>
    <mergeCell ref="D42:F42"/>
    <mergeCell ref="A13:F13"/>
    <mergeCell ref="B34:F34"/>
    <mergeCell ref="E46:F46"/>
    <mergeCell ref="B35:F35"/>
    <mergeCell ref="E50:F50"/>
    <mergeCell ref="A35"/>
    <mergeCell ref="D41:F41"/>
    <mergeCell ref="B48:D48"/>
    <mergeCell ref="A37:F37"/>
    <mergeCell ref="B49:D49"/>
    <mergeCell ref="E49:F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3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35" customWidth="1"/>
    <col min="2" max="2" width="50" customWidth="1"/>
    <col min="3" max="3" width="22" customWidth="1"/>
    <col min="4" max="4" width="30" customWidth="1"/>
  </cols>
  <sheetData>
    <row r="1" spans="1:4" ht="35.1" customHeight="1" x14ac:dyDescent="0.25">
      <c r="A1" s="122" t="s">
        <v>455</v>
      </c>
      <c r="B1" s="78"/>
      <c r="C1" s="78"/>
      <c r="D1" s="78"/>
    </row>
    <row r="2" spans="1:4" ht="20.100000000000001" customHeight="1" x14ac:dyDescent="0.25">
      <c r="A2" s="29" t="s">
        <v>456</v>
      </c>
      <c r="B2" s="29" t="s">
        <v>457</v>
      </c>
      <c r="C2" s="29" t="s">
        <v>458</v>
      </c>
      <c r="D2" s="29" t="s">
        <v>362</v>
      </c>
    </row>
    <row r="3" spans="1:4" ht="20.100000000000001" customHeight="1" x14ac:dyDescent="0.25">
      <c r="A3" s="30" t="s">
        <v>459</v>
      </c>
      <c r="B3" s="31"/>
      <c r="C3" s="32"/>
      <c r="D3" s="32"/>
    </row>
    <row r="4" spans="1:4" ht="20.100000000000001" customHeight="1" x14ac:dyDescent="0.25">
      <c r="A4" s="33" t="s">
        <v>460</v>
      </c>
      <c r="B4" s="34" t="s">
        <v>461</v>
      </c>
      <c r="C4" s="35" t="s">
        <v>462</v>
      </c>
      <c r="D4" s="36" t="s">
        <v>463</v>
      </c>
    </row>
    <row r="5" spans="1:4" ht="33" customHeight="1" x14ac:dyDescent="0.25">
      <c r="A5" s="37" t="s">
        <v>464</v>
      </c>
      <c r="B5" s="38" t="s">
        <v>465</v>
      </c>
      <c r="C5" s="39" t="s">
        <v>462</v>
      </c>
      <c r="D5" s="40" t="s">
        <v>466</v>
      </c>
    </row>
    <row r="6" spans="1:4" ht="29.25" customHeight="1" x14ac:dyDescent="0.25">
      <c r="A6" s="33" t="s">
        <v>467</v>
      </c>
      <c r="B6" s="34" t="s">
        <v>468</v>
      </c>
      <c r="C6" s="35" t="s">
        <v>462</v>
      </c>
      <c r="D6" s="36" t="s">
        <v>469</v>
      </c>
    </row>
    <row r="7" spans="1:4" ht="33.75" customHeight="1" x14ac:dyDescent="0.25">
      <c r="A7" s="37" t="s">
        <v>470</v>
      </c>
      <c r="B7" s="38" t="s">
        <v>471</v>
      </c>
      <c r="C7" s="39" t="s">
        <v>472</v>
      </c>
      <c r="D7" s="40" t="s">
        <v>473</v>
      </c>
    </row>
    <row r="8" spans="1:4" ht="20.100000000000001" customHeight="1" x14ac:dyDescent="0.25">
      <c r="A8" s="33" t="s">
        <v>474</v>
      </c>
      <c r="B8" s="34" t="s">
        <v>475</v>
      </c>
      <c r="C8" s="35" t="s">
        <v>476</v>
      </c>
      <c r="D8" s="36" t="s">
        <v>477</v>
      </c>
    </row>
    <row r="9" spans="1:4" ht="20.100000000000001" customHeight="1" x14ac:dyDescent="0.25">
      <c r="A9" s="37" t="s">
        <v>478</v>
      </c>
      <c r="B9" s="38" t="s">
        <v>479</v>
      </c>
      <c r="C9" s="39" t="s">
        <v>462</v>
      </c>
      <c r="D9" s="40" t="s">
        <v>480</v>
      </c>
    </row>
    <row r="10" spans="1:4" ht="20.100000000000001" customHeight="1" x14ac:dyDescent="0.25">
      <c r="A10" s="30" t="s">
        <v>481</v>
      </c>
      <c r="B10" s="31"/>
      <c r="C10" s="32"/>
      <c r="D10" s="32"/>
    </row>
    <row r="11" spans="1:4" ht="20.100000000000001" customHeight="1" x14ac:dyDescent="0.25">
      <c r="A11" s="37" t="s">
        <v>482</v>
      </c>
      <c r="B11" s="38" t="s">
        <v>483</v>
      </c>
      <c r="C11" s="39" t="s">
        <v>484</v>
      </c>
      <c r="D11" s="40" t="s">
        <v>485</v>
      </c>
    </row>
    <row r="12" spans="1:4" ht="20.100000000000001" customHeight="1" x14ac:dyDescent="0.25">
      <c r="A12" s="33" t="s">
        <v>486</v>
      </c>
      <c r="B12" s="34" t="s">
        <v>487</v>
      </c>
      <c r="C12" s="35" t="s">
        <v>484</v>
      </c>
      <c r="D12" s="36" t="s">
        <v>488</v>
      </c>
    </row>
    <row r="13" spans="1:4" ht="20.100000000000001" customHeight="1" x14ac:dyDescent="0.25">
      <c r="A13" s="37" t="s">
        <v>489</v>
      </c>
      <c r="B13" s="38" t="s">
        <v>490</v>
      </c>
      <c r="C13" s="39" t="s">
        <v>484</v>
      </c>
      <c r="D13" s="40" t="s">
        <v>491</v>
      </c>
    </row>
    <row r="14" spans="1:4" ht="20.100000000000001" customHeight="1" x14ac:dyDescent="0.25">
      <c r="A14" s="33" t="s">
        <v>492</v>
      </c>
      <c r="B14" s="34" t="s">
        <v>493</v>
      </c>
      <c r="C14" s="35" t="s">
        <v>484</v>
      </c>
      <c r="D14" s="36" t="s">
        <v>494</v>
      </c>
    </row>
    <row r="15" spans="1:4" ht="20.100000000000001" customHeight="1" x14ac:dyDescent="0.25">
      <c r="A15" s="37" t="s">
        <v>495</v>
      </c>
      <c r="B15" s="38" t="s">
        <v>496</v>
      </c>
      <c r="C15" s="39" t="s">
        <v>484</v>
      </c>
      <c r="D15" s="40" t="s">
        <v>497</v>
      </c>
    </row>
    <row r="16" spans="1:4" ht="20.100000000000001" customHeight="1" x14ac:dyDescent="0.25">
      <c r="A16" s="33" t="s">
        <v>498</v>
      </c>
      <c r="B16" s="34" t="s">
        <v>499</v>
      </c>
      <c r="C16" s="35" t="s">
        <v>484</v>
      </c>
      <c r="D16" s="36" t="s">
        <v>500</v>
      </c>
    </row>
    <row r="17" spans="1:4" ht="20.100000000000001" customHeight="1" x14ac:dyDescent="0.25">
      <c r="A17" s="37" t="s">
        <v>501</v>
      </c>
      <c r="B17" s="38" t="s">
        <v>502</v>
      </c>
      <c r="C17" s="39" t="s">
        <v>484</v>
      </c>
      <c r="D17" s="40" t="s">
        <v>503</v>
      </c>
    </row>
    <row r="18" spans="1:4" ht="20.100000000000001" customHeight="1" x14ac:dyDescent="0.25">
      <c r="A18" s="33" t="s">
        <v>504</v>
      </c>
      <c r="B18" s="34" t="s">
        <v>496</v>
      </c>
      <c r="C18" s="35" t="s">
        <v>484</v>
      </c>
      <c r="D18" s="36" t="s">
        <v>505</v>
      </c>
    </row>
    <row r="19" spans="1:4" ht="20.100000000000001" customHeight="1" x14ac:dyDescent="0.25">
      <c r="A19" s="37" t="s">
        <v>506</v>
      </c>
      <c r="B19" s="38" t="s">
        <v>507</v>
      </c>
      <c r="C19" s="39" t="s">
        <v>484</v>
      </c>
      <c r="D19" s="40" t="s">
        <v>508</v>
      </c>
    </row>
    <row r="20" spans="1:4" ht="20.100000000000001" customHeight="1" x14ac:dyDescent="0.25">
      <c r="A20" s="30" t="s">
        <v>509</v>
      </c>
      <c r="B20" s="31"/>
      <c r="C20" s="32"/>
      <c r="D20" s="32"/>
    </row>
    <row r="21" spans="1:4" ht="20.100000000000001" customHeight="1" x14ac:dyDescent="0.25">
      <c r="A21" s="37" t="s">
        <v>510</v>
      </c>
      <c r="B21" s="38" t="s">
        <v>511</v>
      </c>
      <c r="C21" s="39" t="s">
        <v>512</v>
      </c>
      <c r="D21" s="40" t="s">
        <v>513</v>
      </c>
    </row>
    <row r="22" spans="1:4" ht="20.100000000000001" customHeight="1" x14ac:dyDescent="0.25">
      <c r="A22" s="33" t="s">
        <v>514</v>
      </c>
      <c r="B22" s="34" t="s">
        <v>515</v>
      </c>
      <c r="C22" s="35" t="s">
        <v>516</v>
      </c>
      <c r="D22" s="36" t="s">
        <v>517</v>
      </c>
    </row>
    <row r="23" spans="1:4" ht="20.100000000000001" customHeight="1" x14ac:dyDescent="0.25">
      <c r="A23" s="37" t="s">
        <v>518</v>
      </c>
      <c r="B23" s="38" t="s">
        <v>519</v>
      </c>
      <c r="C23" s="39" t="s">
        <v>520</v>
      </c>
      <c r="D23" s="40" t="s">
        <v>521</v>
      </c>
    </row>
    <row r="24" spans="1:4" ht="20.100000000000001" customHeight="1" x14ac:dyDescent="0.25">
      <c r="A24" s="33" t="s">
        <v>522</v>
      </c>
      <c r="B24" s="34" t="s">
        <v>523</v>
      </c>
      <c r="C24" s="35" t="s">
        <v>524</v>
      </c>
      <c r="D24" s="36" t="s">
        <v>525</v>
      </c>
    </row>
    <row r="25" spans="1:4" ht="20.100000000000001" customHeight="1" x14ac:dyDescent="0.25">
      <c r="A25" s="37" t="s">
        <v>526</v>
      </c>
      <c r="B25" s="38" t="s">
        <v>527</v>
      </c>
      <c r="C25" s="39" t="s">
        <v>528</v>
      </c>
      <c r="D25" s="40" t="s">
        <v>529</v>
      </c>
    </row>
    <row r="26" spans="1:4" ht="20.100000000000001" customHeight="1" x14ac:dyDescent="0.25">
      <c r="A26" s="33" t="s">
        <v>530</v>
      </c>
      <c r="B26" s="34" t="s">
        <v>531</v>
      </c>
      <c r="C26" s="35" t="s">
        <v>532</v>
      </c>
      <c r="D26" s="36" t="s">
        <v>533</v>
      </c>
    </row>
    <row r="27" spans="1:4" ht="20.100000000000001" customHeight="1" x14ac:dyDescent="0.25">
      <c r="A27" s="30" t="s">
        <v>534</v>
      </c>
      <c r="B27" s="31"/>
      <c r="C27" s="32"/>
      <c r="D27" s="32"/>
    </row>
    <row r="28" spans="1:4" ht="20.100000000000001" customHeight="1" x14ac:dyDescent="0.25">
      <c r="A28" s="33" t="s">
        <v>535</v>
      </c>
      <c r="B28" s="34" t="s">
        <v>536</v>
      </c>
      <c r="C28" s="35" t="s">
        <v>537</v>
      </c>
      <c r="D28" s="36" t="s">
        <v>538</v>
      </c>
    </row>
    <row r="29" spans="1:4" ht="20.100000000000001" customHeight="1" x14ac:dyDescent="0.25">
      <c r="A29" s="37" t="s">
        <v>539</v>
      </c>
      <c r="B29" s="38" t="s">
        <v>540</v>
      </c>
      <c r="C29" s="39" t="s">
        <v>537</v>
      </c>
      <c r="D29" s="40" t="s">
        <v>541</v>
      </c>
    </row>
    <row r="30" spans="1:4" ht="20.100000000000001" customHeight="1" x14ac:dyDescent="0.25">
      <c r="A30" s="33" t="s">
        <v>542</v>
      </c>
      <c r="B30" s="34" t="s">
        <v>543</v>
      </c>
      <c r="C30" s="35" t="s">
        <v>537</v>
      </c>
      <c r="D30" s="36" t="s">
        <v>544</v>
      </c>
    </row>
    <row r="31" spans="1:4" ht="20.100000000000001" customHeight="1" x14ac:dyDescent="0.25">
      <c r="A31" s="30" t="s">
        <v>545</v>
      </c>
      <c r="B31" s="31"/>
      <c r="C31" s="32"/>
      <c r="D31" s="32"/>
    </row>
    <row r="32" spans="1:4" ht="36" customHeight="1" x14ac:dyDescent="0.25">
      <c r="A32" s="33" t="s">
        <v>546</v>
      </c>
      <c r="B32" s="34" t="s">
        <v>547</v>
      </c>
      <c r="C32" s="35" t="s">
        <v>548</v>
      </c>
      <c r="D32" s="36" t="s">
        <v>549</v>
      </c>
    </row>
    <row r="33" spans="1:4" ht="33.75" x14ac:dyDescent="0.25">
      <c r="A33" s="37" t="s">
        <v>550</v>
      </c>
      <c r="B33" s="38" t="s">
        <v>551</v>
      </c>
      <c r="C33" s="39" t="s">
        <v>552</v>
      </c>
      <c r="D33" s="40" t="s">
        <v>553</v>
      </c>
    </row>
    <row r="34" spans="1:4" ht="20.100000000000001" customHeight="1" x14ac:dyDescent="0.25">
      <c r="A34" s="33" t="s">
        <v>554</v>
      </c>
      <c r="B34" s="34" t="s">
        <v>555</v>
      </c>
      <c r="C34" s="35" t="s">
        <v>556</v>
      </c>
      <c r="D34" s="36" t="s">
        <v>557</v>
      </c>
    </row>
    <row r="35" spans="1:4" ht="20.100000000000001" customHeight="1" x14ac:dyDescent="0.25">
      <c r="A35" s="37" t="s">
        <v>558</v>
      </c>
      <c r="B35" s="38" t="s">
        <v>559</v>
      </c>
      <c r="C35" s="39" t="s">
        <v>560</v>
      </c>
      <c r="D35" s="40" t="s">
        <v>561</v>
      </c>
    </row>
    <row r="36" spans="1:4" ht="20.100000000000001" customHeight="1" x14ac:dyDescent="0.25">
      <c r="A36" s="33" t="s">
        <v>562</v>
      </c>
      <c r="B36" s="34" t="s">
        <v>563</v>
      </c>
      <c r="C36" s="35" t="s">
        <v>564</v>
      </c>
      <c r="D36" s="36" t="s">
        <v>565</v>
      </c>
    </row>
    <row r="37" spans="1:4" ht="20.100000000000001" customHeight="1" x14ac:dyDescent="0.25">
      <c r="A37" s="41" t="s">
        <v>566</v>
      </c>
      <c r="B37" s="42" t="s">
        <v>567</v>
      </c>
      <c r="C37" s="43" t="s">
        <v>568</v>
      </c>
      <c r="D37" s="44" t="s">
        <v>569</v>
      </c>
    </row>
    <row r="38" spans="1:4" ht="21.95" customHeight="1" x14ac:dyDescent="0.25">
      <c r="A38" s="30" t="s">
        <v>570</v>
      </c>
      <c r="B38" s="31"/>
      <c r="C38" s="32"/>
      <c r="D38" s="32"/>
    </row>
    <row r="39" spans="1:4" ht="22.5" x14ac:dyDescent="0.25">
      <c r="A39" s="37" t="s">
        <v>571</v>
      </c>
      <c r="B39" s="38" t="s">
        <v>572</v>
      </c>
      <c r="C39" s="39" t="s">
        <v>573</v>
      </c>
      <c r="D39" s="40" t="s">
        <v>574</v>
      </c>
    </row>
    <row r="40" spans="1:4" ht="33.75" x14ac:dyDescent="0.25">
      <c r="A40" s="33" t="s">
        <v>575</v>
      </c>
      <c r="B40" s="34" t="s">
        <v>576</v>
      </c>
      <c r="C40" s="35" t="s">
        <v>577</v>
      </c>
      <c r="D40" s="36" t="s">
        <v>578</v>
      </c>
    </row>
    <row r="41" spans="1:4" ht="21.95" customHeight="1" x14ac:dyDescent="0.25">
      <c r="A41" s="37" t="s">
        <v>579</v>
      </c>
      <c r="B41" s="38" t="s">
        <v>580</v>
      </c>
      <c r="C41" s="39" t="s">
        <v>581</v>
      </c>
      <c r="D41" s="40" t="s">
        <v>582</v>
      </c>
    </row>
    <row r="42" spans="1:4" ht="21.95" customHeight="1" x14ac:dyDescent="0.25">
      <c r="A42" s="33" t="s">
        <v>583</v>
      </c>
      <c r="B42" s="34" t="s">
        <v>584</v>
      </c>
      <c r="C42" s="35" t="s">
        <v>585</v>
      </c>
      <c r="D42" s="36" t="s">
        <v>586</v>
      </c>
    </row>
    <row r="43" spans="1:4" ht="21.95" customHeight="1" x14ac:dyDescent="0.25">
      <c r="A43" s="37" t="s">
        <v>587</v>
      </c>
      <c r="B43" s="38" t="s">
        <v>588</v>
      </c>
      <c r="C43" s="39" t="s">
        <v>589</v>
      </c>
      <c r="D43" s="40" t="s">
        <v>590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showGridLines="0" topLeftCell="A21" workbookViewId="0">
      <selection activeCell="C18" sqref="C18"/>
    </sheetView>
  </sheetViews>
  <sheetFormatPr baseColWidth="10" defaultColWidth="9.140625" defaultRowHeight="15" x14ac:dyDescent="0.25"/>
  <cols>
    <col min="1" max="1" width="25" customWidth="1"/>
    <col min="2" max="2" width="35" customWidth="1"/>
    <col min="3" max="4" width="20" customWidth="1"/>
    <col min="5" max="5" width="25" customWidth="1"/>
  </cols>
  <sheetData>
    <row r="1" spans="1:5" ht="35.1" customHeight="1" x14ac:dyDescent="0.25">
      <c r="A1" s="122" t="s">
        <v>591</v>
      </c>
      <c r="B1" s="78"/>
      <c r="C1" s="78"/>
      <c r="D1" s="78"/>
      <c r="E1" s="78"/>
    </row>
    <row r="2" spans="1:5" ht="24.95" customHeight="1" x14ac:dyDescent="0.25">
      <c r="A2" s="123" t="s">
        <v>592</v>
      </c>
      <c r="B2" s="78"/>
      <c r="C2" s="78"/>
      <c r="D2" s="78"/>
      <c r="E2" s="78"/>
    </row>
    <row r="3" spans="1:5" ht="20.100000000000001" customHeight="1" x14ac:dyDescent="0.25">
      <c r="A3" s="1" t="s">
        <v>593</v>
      </c>
      <c r="B3" s="1" t="s">
        <v>11</v>
      </c>
      <c r="C3" s="1" t="s">
        <v>594</v>
      </c>
      <c r="D3" s="1" t="s">
        <v>595</v>
      </c>
      <c r="E3" s="1" t="s">
        <v>596</v>
      </c>
    </row>
    <row r="4" spans="1:5" ht="51" customHeight="1" x14ac:dyDescent="0.25">
      <c r="A4" s="30" t="s">
        <v>597</v>
      </c>
      <c r="B4" s="45"/>
      <c r="C4" s="45"/>
      <c r="D4" s="45"/>
      <c r="E4" s="45"/>
    </row>
    <row r="5" spans="1:5" ht="45" customHeight="1" x14ac:dyDescent="0.25">
      <c r="A5" s="37" t="s">
        <v>598</v>
      </c>
      <c r="B5" s="38" t="s">
        <v>599</v>
      </c>
      <c r="C5" s="38" t="s">
        <v>600</v>
      </c>
      <c r="D5" s="38" t="s">
        <v>601</v>
      </c>
      <c r="E5" s="38" t="s">
        <v>602</v>
      </c>
    </row>
    <row r="6" spans="1:5" ht="45" customHeight="1" x14ac:dyDescent="0.25">
      <c r="A6" s="33" t="s">
        <v>603</v>
      </c>
      <c r="B6" s="34" t="s">
        <v>604</v>
      </c>
      <c r="C6" s="34" t="s">
        <v>605</v>
      </c>
      <c r="D6" s="34" t="s">
        <v>606</v>
      </c>
      <c r="E6" s="34" t="s">
        <v>607</v>
      </c>
    </row>
    <row r="7" spans="1:5" ht="45" customHeight="1" x14ac:dyDescent="0.25">
      <c r="A7" s="37" t="s">
        <v>608</v>
      </c>
      <c r="B7" s="38" t="s">
        <v>609</v>
      </c>
      <c r="C7" s="38" t="s">
        <v>610</v>
      </c>
      <c r="D7" s="38" t="s">
        <v>611</v>
      </c>
      <c r="E7" s="38" t="s">
        <v>612</v>
      </c>
    </row>
    <row r="8" spans="1:5" ht="45" customHeight="1" x14ac:dyDescent="0.25">
      <c r="A8" s="30" t="s">
        <v>613</v>
      </c>
      <c r="B8" s="45"/>
      <c r="C8" s="45"/>
      <c r="D8" s="45"/>
      <c r="E8" s="45"/>
    </row>
    <row r="9" spans="1:5" ht="45" customHeight="1" x14ac:dyDescent="0.25">
      <c r="A9" s="37" t="s">
        <v>614</v>
      </c>
      <c r="B9" s="38" t="s">
        <v>615</v>
      </c>
      <c r="C9" s="38" t="s">
        <v>616</v>
      </c>
      <c r="D9" s="38" t="s">
        <v>617</v>
      </c>
      <c r="E9" s="38" t="s">
        <v>618</v>
      </c>
    </row>
    <row r="10" spans="1:5" ht="45" customHeight="1" x14ac:dyDescent="0.25">
      <c r="A10" s="33" t="s">
        <v>619</v>
      </c>
      <c r="B10" s="34" t="s">
        <v>620</v>
      </c>
      <c r="C10" s="34" t="s">
        <v>621</v>
      </c>
      <c r="D10" s="34" t="s">
        <v>622</v>
      </c>
      <c r="E10" s="34" t="s">
        <v>623</v>
      </c>
    </row>
    <row r="11" spans="1:5" ht="45" customHeight="1" x14ac:dyDescent="0.25">
      <c r="A11" s="30" t="s">
        <v>624</v>
      </c>
      <c r="B11" s="45"/>
      <c r="C11" s="45"/>
      <c r="D11" s="45"/>
      <c r="E11" s="45"/>
    </row>
    <row r="12" spans="1:5" ht="45" customHeight="1" x14ac:dyDescent="0.25">
      <c r="A12" s="33" t="s">
        <v>625</v>
      </c>
      <c r="B12" s="34" t="s">
        <v>626</v>
      </c>
      <c r="C12" s="34" t="s">
        <v>627</v>
      </c>
      <c r="D12" s="34" t="s">
        <v>628</v>
      </c>
      <c r="E12" s="34" t="s">
        <v>629</v>
      </c>
    </row>
    <row r="13" spans="1:5" ht="66.75" customHeight="1" x14ac:dyDescent="0.25">
      <c r="A13" s="37" t="s">
        <v>630</v>
      </c>
      <c r="B13" s="38" t="s">
        <v>631</v>
      </c>
      <c r="C13" s="38" t="s">
        <v>632</v>
      </c>
      <c r="D13" s="38" t="s">
        <v>633</v>
      </c>
      <c r="E13" s="38" t="s">
        <v>634</v>
      </c>
    </row>
    <row r="14" spans="1:5" ht="45" customHeight="1" x14ac:dyDescent="0.25">
      <c r="A14" s="33" t="s">
        <v>635</v>
      </c>
      <c r="B14" s="34" t="s">
        <v>636</v>
      </c>
      <c r="C14" s="34" t="s">
        <v>637</v>
      </c>
      <c r="D14" s="34" t="s">
        <v>638</v>
      </c>
      <c r="E14" s="34" t="s">
        <v>639</v>
      </c>
    </row>
    <row r="15" spans="1:5" ht="45" customHeight="1" x14ac:dyDescent="0.25">
      <c r="A15" s="30" t="s">
        <v>640</v>
      </c>
      <c r="B15" s="45"/>
      <c r="C15" s="45"/>
      <c r="D15" s="45"/>
      <c r="E15" s="45"/>
    </row>
    <row r="16" spans="1:5" ht="59.25" customHeight="1" x14ac:dyDescent="0.25">
      <c r="A16" s="33" t="s">
        <v>641</v>
      </c>
      <c r="B16" s="34" t="s">
        <v>642</v>
      </c>
      <c r="C16" s="34" t="s">
        <v>643</v>
      </c>
      <c r="D16" s="34" t="s">
        <v>644</v>
      </c>
      <c r="E16" s="34" t="s">
        <v>645</v>
      </c>
    </row>
    <row r="17" spans="1:5" ht="84.75" customHeight="1" x14ac:dyDescent="0.25">
      <c r="A17" s="37" t="s">
        <v>646</v>
      </c>
      <c r="B17" s="38" t="s">
        <v>647</v>
      </c>
      <c r="C17" s="38" t="s">
        <v>648</v>
      </c>
      <c r="D17" s="38" t="s">
        <v>649</v>
      </c>
      <c r="E17" s="38" t="s">
        <v>650</v>
      </c>
    </row>
    <row r="18" spans="1:5" ht="45" customHeight="1" x14ac:dyDescent="0.25">
      <c r="A18" s="33" t="s">
        <v>651</v>
      </c>
      <c r="B18" s="34" t="s">
        <v>652</v>
      </c>
      <c r="C18" s="34" t="s">
        <v>653</v>
      </c>
      <c r="D18" s="34" t="s">
        <v>654</v>
      </c>
      <c r="E18" s="34" t="s">
        <v>655</v>
      </c>
    </row>
    <row r="19" spans="1:5" ht="45" customHeight="1" x14ac:dyDescent="0.25">
      <c r="A19" s="30" t="s">
        <v>656</v>
      </c>
      <c r="B19" s="45"/>
      <c r="C19" s="45"/>
      <c r="D19" s="45"/>
      <c r="E19" s="45"/>
    </row>
    <row r="20" spans="1:5" ht="66" customHeight="1" x14ac:dyDescent="0.25">
      <c r="A20" s="33" t="s">
        <v>657</v>
      </c>
      <c r="B20" s="34" t="s">
        <v>658</v>
      </c>
      <c r="C20" s="34" t="s">
        <v>659</v>
      </c>
      <c r="D20" s="34" t="s">
        <v>660</v>
      </c>
      <c r="E20" s="34" t="s">
        <v>661</v>
      </c>
    </row>
    <row r="21" spans="1:5" ht="73.5" customHeight="1" x14ac:dyDescent="0.25">
      <c r="A21" s="37" t="s">
        <v>662</v>
      </c>
      <c r="B21" s="38" t="s">
        <v>663</v>
      </c>
      <c r="C21" s="38" t="s">
        <v>664</v>
      </c>
      <c r="D21" s="38" t="s">
        <v>665</v>
      </c>
      <c r="E21" s="38" t="s">
        <v>666</v>
      </c>
    </row>
    <row r="22" spans="1:5" ht="45" customHeight="1" x14ac:dyDescent="0.25">
      <c r="A22" s="30" t="s">
        <v>667</v>
      </c>
      <c r="B22" s="45"/>
      <c r="C22" s="45"/>
      <c r="D22" s="45"/>
      <c r="E22" s="45"/>
    </row>
    <row r="23" spans="1:5" ht="68.25" customHeight="1" x14ac:dyDescent="0.25">
      <c r="A23" s="37" t="s">
        <v>668</v>
      </c>
      <c r="B23" s="38" t="s">
        <v>669</v>
      </c>
      <c r="C23" s="38" t="s">
        <v>670</v>
      </c>
      <c r="D23" s="38" t="s">
        <v>671</v>
      </c>
      <c r="E23" s="38" t="s">
        <v>672</v>
      </c>
    </row>
    <row r="24" spans="1:5" ht="72" customHeight="1" x14ac:dyDescent="0.25">
      <c r="A24" s="33" t="s">
        <v>673</v>
      </c>
      <c r="B24" s="34" t="s">
        <v>674</v>
      </c>
      <c r="C24" s="34" t="s">
        <v>675</v>
      </c>
      <c r="D24" s="34" t="s">
        <v>676</v>
      </c>
      <c r="E24" s="34" t="s">
        <v>677</v>
      </c>
    </row>
    <row r="25" spans="1:5" ht="45" customHeight="1" x14ac:dyDescent="0.25">
      <c r="A25" s="30" t="s">
        <v>678</v>
      </c>
      <c r="B25" s="45"/>
      <c r="C25" s="45"/>
      <c r="D25" s="45"/>
      <c r="E25" s="45"/>
    </row>
    <row r="26" spans="1:5" ht="67.5" customHeight="1" x14ac:dyDescent="0.25">
      <c r="A26" s="33" t="s">
        <v>679</v>
      </c>
      <c r="B26" s="34" t="s">
        <v>680</v>
      </c>
      <c r="C26" s="34" t="s">
        <v>681</v>
      </c>
      <c r="D26" s="34" t="s">
        <v>682</v>
      </c>
      <c r="E26" s="34" t="s">
        <v>683</v>
      </c>
    </row>
    <row r="27" spans="1:5" ht="60" customHeight="1" x14ac:dyDescent="0.25">
      <c r="A27" s="41" t="s">
        <v>684</v>
      </c>
      <c r="B27" s="42" t="s">
        <v>685</v>
      </c>
      <c r="C27" s="42" t="s">
        <v>686</v>
      </c>
      <c r="D27" s="42" t="s">
        <v>687</v>
      </c>
      <c r="E27" s="42" t="s">
        <v>688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Ejecutivo</vt:lpstr>
      <vt:lpstr>Año1</vt:lpstr>
      <vt:lpstr>Año2</vt:lpstr>
      <vt:lpstr>Año3</vt:lpstr>
      <vt:lpstr>AlphaFold3 DeepMind</vt:lpstr>
      <vt:lpstr>Supuestos y Benchmarks</vt:lpstr>
      <vt:lpstr>Pipelines Bioinformáticos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Alberto Gutierrez Ibarra</cp:lastModifiedBy>
  <dcterms:created xsi:type="dcterms:W3CDTF">2026-03-29T07:06:54Z</dcterms:created>
  <dcterms:modified xsi:type="dcterms:W3CDTF">2026-03-29T08:06:05Z</dcterms:modified>
</cp:coreProperties>
</file>